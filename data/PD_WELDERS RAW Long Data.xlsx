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139512934491/WOPIServiceId_TP_BOX_2/WOPIUserId_-/"/>
    </mc:Choice>
  </mc:AlternateContent>
  <xr:revisionPtr revIDLastSave="4" documentId="13_ncr:1_{8E232609-F0AE-4F68-A3AF-C301A76A3DC1}" xr6:coauthVersionLast="47" xr6:coauthVersionMax="47" xr10:uidLastSave="{3A493D34-578D-4549-B22A-AFF6E7FD1DB4}"/>
  <bookViews>
    <workbookView xWindow="-108" yWindow="-108" windowWidth="23256" windowHeight="12456" xr2:uid="{5358418F-1392-4BC0-BC4C-9D3E279BD403}"/>
  </bookViews>
  <sheets>
    <sheet name="PD" sheetId="1" r:id="rId1"/>
    <sheet name="WD" sheetId="2" r:id="rId2"/>
    <sheet name="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C19" i="2"/>
  <c r="C18" i="2"/>
  <c r="B17" i="1"/>
  <c r="BJ16" i="1"/>
  <c r="BJ2" i="1"/>
  <c r="BJ3" i="1"/>
  <c r="BJ4" i="1"/>
  <c r="BJ5" i="1"/>
  <c r="BJ6" i="1"/>
  <c r="BJ7" i="1"/>
  <c r="BJ8" i="1"/>
  <c r="BJ9" i="1"/>
  <c r="BJ10" i="1"/>
  <c r="BJ11" i="1"/>
  <c r="BJ12" i="1"/>
  <c r="BJ13" i="1"/>
  <c r="BJ14" i="1"/>
  <c r="BJ15" i="1"/>
  <c r="BV16" i="1"/>
  <c r="AT2" i="1"/>
  <c r="AT3" i="1"/>
  <c r="AT4" i="1"/>
  <c r="AT5" i="1"/>
  <c r="AT6" i="1"/>
  <c r="AT7" i="1"/>
  <c r="AT8" i="1"/>
  <c r="AT9" i="1"/>
  <c r="AT10" i="1"/>
  <c r="AT11" i="1"/>
  <c r="AT12" i="1"/>
  <c r="AT13" i="1"/>
  <c r="AT14" i="1"/>
  <c r="AT15" i="1"/>
  <c r="BV15" i="1"/>
  <c r="BV2" i="1"/>
  <c r="BV3" i="1"/>
  <c r="BV4" i="1"/>
  <c r="BV5" i="1"/>
  <c r="BV6" i="1"/>
  <c r="BV7" i="1"/>
  <c r="BV8" i="1"/>
  <c r="BV9" i="1"/>
  <c r="BV10" i="1"/>
  <c r="BV11" i="1"/>
  <c r="BV12" i="1"/>
  <c r="BV13" i="1"/>
  <c r="BV14" i="1"/>
</calcChain>
</file>

<file path=xl/sharedStrings.xml><?xml version="1.0" encoding="utf-8"?>
<sst xmlns="http://schemas.openxmlformats.org/spreadsheetml/2006/main" count="1209" uniqueCount="282">
  <si>
    <t>Participant ID</t>
  </si>
  <si>
    <t>Age (in years)</t>
  </si>
  <si>
    <t>Gender</t>
  </si>
  <si>
    <t>Marital Status</t>
  </si>
  <si>
    <t>Education Level</t>
  </si>
  <si>
    <t>Occupation (before PD or current)</t>
  </si>
  <si>
    <t>Place of Residence</t>
  </si>
  <si>
    <t>Year of PD Diagnosis</t>
  </si>
  <si>
    <t>Disease Duration (years/months)</t>
  </si>
  <si>
    <t>Current Stage of PD (Hoehn &amp; Yahr)</t>
  </si>
  <si>
    <t>Main Symptoms at Onset</t>
  </si>
  <si>
    <t>Laterality of Onset</t>
  </si>
  <si>
    <t>Levodopa</t>
  </si>
  <si>
    <t>Dopamine agonists</t>
  </si>
  <si>
    <t>MAO-B inhibitors</t>
  </si>
  <si>
    <t>COMT inhibitors</t>
  </si>
  <si>
    <t>Other Medications</t>
  </si>
  <si>
    <t>ON/OFF Symptoms Present?</t>
  </si>
  <si>
    <t>Number of Falls in the Last 6 Months</t>
  </si>
  <si>
    <t>History of Freezing of Gait (FOG)</t>
  </si>
  <si>
    <t>Comorbidities</t>
  </si>
  <si>
    <t>MMSE (/30)</t>
  </si>
  <si>
    <t>Any diagnosed dementia?</t>
  </si>
  <si>
    <t>Assistive Devices Used</t>
  </si>
  <si>
    <t>Smoking Status</t>
  </si>
  <si>
    <t>Alcohol Use</t>
  </si>
  <si>
    <t>Do you experience any of the following?</t>
  </si>
  <si>
    <t>Previously diagnosed vestibular disorder?</t>
  </si>
  <si>
    <t>If yes, specify</t>
  </si>
  <si>
    <t>Use of Home Modifications or Safety Aids</t>
  </si>
  <si>
    <t>Sitting to Standing</t>
  </si>
  <si>
    <t>Standing Unsupported</t>
  </si>
  <si>
    <t>Sitting Unsupported</t>
  </si>
  <si>
    <t>Standing to Sitting</t>
  </si>
  <si>
    <t>Transfers</t>
  </si>
  <si>
    <t>Standing with Eyes Closed</t>
  </si>
  <si>
    <t>Standing with Feet Together</t>
  </si>
  <si>
    <t>Reaching Forward with Outstretched Arm</t>
  </si>
  <si>
    <t>Retrieving an Object from the Floor</t>
  </si>
  <si>
    <t>Turning to Look Behind Over Left and Right Shoulders</t>
  </si>
  <si>
    <t>Turning 360 Degrees</t>
  </si>
  <si>
    <t>Placing Alternate Foot on Stool</t>
  </si>
  <si>
    <t>Standing with One Foot in Front</t>
  </si>
  <si>
    <t>Standing on One Leg</t>
  </si>
  <si>
    <t>Additional Comments</t>
  </si>
  <si>
    <t>Sit to Stand (Anticipatory Postural Adjustments)</t>
  </si>
  <si>
    <t>Rise to Toes (Anticipatory Postural Adjustments)</t>
  </si>
  <si>
    <t>Stand on One Leg (Anticipatory Postural Adjustments)</t>
  </si>
  <si>
    <t>Compensatory Stepping Correction - Forward (Reactive Postural Control)</t>
  </si>
  <si>
    <t>Compensatory Stepping Correction - Backward (Reactive Postural Control)</t>
  </si>
  <si>
    <t>Compensatory Stepping Correction - Lateral (Reactive Postural Control)</t>
  </si>
  <si>
    <t>Standing with Feet Together, Eyes Open, Firm Surface (Sensory Orientation)</t>
  </si>
  <si>
    <t>Standing with Feet Together, Eyes Closed, Foam Surface (Sensory Orientation)</t>
  </si>
  <si>
    <t>Incline, Eyes Closed (Sensory Orientation)</t>
  </si>
  <si>
    <t>Change in Gait Speed (Dynamic Gait)</t>
  </si>
  <si>
    <t>Walk with Horizontal Head Turns (Dynamic Gait)</t>
  </si>
  <si>
    <t>Walk with Pivot Turns (Dynamic Gait)</t>
  </si>
  <si>
    <t>Step Over Obstacles (Dynamic Gait)</t>
  </si>
  <si>
    <t>Tandem Walk (Dynamic Gait)</t>
  </si>
  <si>
    <t>Additional Comments 2</t>
  </si>
  <si>
    <t>How confident are you in Taking a bath or shower without falling?</t>
  </si>
  <si>
    <t>How confident are you in Reaching into cabinets or closets without falling?</t>
  </si>
  <si>
    <t>How confident are you in Walking around the house without falling?</t>
  </si>
  <si>
    <t>How confident are you in Preparing meals not requiring carrying heavy or hot objects without falling?</t>
  </si>
  <si>
    <t>How confident are you in Getting in and out of bed without falling?</t>
  </si>
  <si>
    <t>How confident are you in Answering the door or telephone without falling?</t>
  </si>
  <si>
    <t>How confident are you in Getting in and out of a chair without falling?</t>
  </si>
  <si>
    <t>How confident are you in Getting dressed and undressed without falling?</t>
  </si>
  <si>
    <t>How confident are you in Personal grooming (e.g., washing face) without falling?</t>
  </si>
  <si>
    <t>How confident are you in Getting on and off the toilet without falling?</t>
  </si>
  <si>
    <t>Additional Comments 3</t>
  </si>
  <si>
    <t>PD001</t>
  </si>
  <si>
    <t>Male</t>
  </si>
  <si>
    <t>Married</t>
  </si>
  <si>
    <t>Higher Secondary</t>
  </si>
  <si>
    <t>Civil service store keeper</t>
  </si>
  <si>
    <t>Urban</t>
  </si>
  <si>
    <t>Tremor, Rigidity, Bradykinesia, Postural instability, Gait disturbance, Speech/voice change</t>
  </si>
  <si>
    <t>Right</t>
  </si>
  <si>
    <t>No</t>
  </si>
  <si>
    <t xml:space="preserve">Homeopathy medicine </t>
  </si>
  <si>
    <t>Yes</t>
  </si>
  <si>
    <t>None</t>
  </si>
  <si>
    <t>Never</t>
  </si>
  <si>
    <t>Imbalance while walking</t>
  </si>
  <si>
    <t>PD002</t>
  </si>
  <si>
    <t>Graduate</t>
  </si>
  <si>
    <t xml:space="preserve">Government servent </t>
  </si>
  <si>
    <t xml:space="preserve">6month </t>
  </si>
  <si>
    <t>Others</t>
  </si>
  <si>
    <t>Bilateral onset</t>
  </si>
  <si>
    <t>Diabetes</t>
  </si>
  <si>
    <t>Occasionally</t>
  </si>
  <si>
    <t>PD003</t>
  </si>
  <si>
    <t>No formal education</t>
  </si>
  <si>
    <t>Wisher man</t>
  </si>
  <si>
    <t>Rural</t>
  </si>
  <si>
    <t xml:space="preserve">2 years </t>
  </si>
  <si>
    <t>Tremor</t>
  </si>
  <si>
    <t xml:space="preserve">Metformin , Amlodipine </t>
  </si>
  <si>
    <t>Hypertension, Diabetes</t>
  </si>
  <si>
    <t>Former Smoker</t>
  </si>
  <si>
    <t>Imbalance while walking, Tendency to fall in one direction</t>
  </si>
  <si>
    <t>PD004</t>
  </si>
  <si>
    <t>Female</t>
  </si>
  <si>
    <t>Widowed</t>
  </si>
  <si>
    <t>Farmer</t>
  </si>
  <si>
    <t>Rigidity</t>
  </si>
  <si>
    <t>Baclofen 100 mg, metformin 500 mg</t>
  </si>
  <si>
    <t>Hypertension, Diabetes, Cardiovascular disease</t>
  </si>
  <si>
    <t>Other</t>
  </si>
  <si>
    <t>Anti-slip flooring</t>
  </si>
  <si>
    <t>Specifically noted pt while weight bearing causes inversion of foot</t>
  </si>
  <si>
    <t>PD005</t>
  </si>
  <si>
    <t xml:space="preserve">Retired </t>
  </si>
  <si>
    <t>Rigidity, Postural instability, Gait disturbance</t>
  </si>
  <si>
    <t xml:space="preserve">Less than 5 times </t>
  </si>
  <si>
    <t>Wheelchair</t>
  </si>
  <si>
    <t>Bathroom bars</t>
  </si>
  <si>
    <t>PD006</t>
  </si>
  <si>
    <t>Diploma</t>
  </si>
  <si>
    <t>Retired</t>
  </si>
  <si>
    <t>Semi-Urban</t>
  </si>
  <si>
    <t>Rigidity, Bradykinesia, Gait disturbance, Speech/voice change</t>
  </si>
  <si>
    <t>Nil</t>
  </si>
  <si>
    <t>Less than 10times</t>
  </si>
  <si>
    <t>Hypertension, Diabetes, Osteoarthritis, Vision problems</t>
  </si>
  <si>
    <t>Walker, Wheelchair</t>
  </si>
  <si>
    <t>PD007</t>
  </si>
  <si>
    <t>Postgraduate</t>
  </si>
  <si>
    <t>Rigidity, Postural instability, Gait disturbance, Speech/voice change</t>
  </si>
  <si>
    <t xml:space="preserve">Diabetic medication </t>
  </si>
  <si>
    <t>5-6 times</t>
  </si>
  <si>
    <t>Hypertension, Diabetes, Osteoarthritis</t>
  </si>
  <si>
    <t>Cane, Wheelchair</t>
  </si>
  <si>
    <t>Dizziness or light-headedness, Nausea associated with movement</t>
  </si>
  <si>
    <t>PD008</t>
  </si>
  <si>
    <t xml:space="preserve">Current retaired  </t>
  </si>
  <si>
    <t>5years</t>
  </si>
  <si>
    <t>Left</t>
  </si>
  <si>
    <t xml:space="preserve">Anticholinergic, beta blockers, multi vitamin, methylcobalamin formulation </t>
  </si>
  <si>
    <t>PD009</t>
  </si>
  <si>
    <t>BSNL officier</t>
  </si>
  <si>
    <t>15 years</t>
  </si>
  <si>
    <t>Tremor, Postural instability, Speech/voice change</t>
  </si>
  <si>
    <t xml:space="preserve">Atypical antipsychotics, bronchodilator, anticonvulsant </t>
  </si>
  <si>
    <t>PD010</t>
  </si>
  <si>
    <t>House wife</t>
  </si>
  <si>
    <t>1year</t>
  </si>
  <si>
    <t>2 years</t>
  </si>
  <si>
    <t>Tremor, Rigidity, Bradykinesia, Postural instability, Gait disturbance</t>
  </si>
  <si>
    <t>Anticholinergic drugs</t>
  </si>
  <si>
    <t>Hypertension</t>
  </si>
  <si>
    <t>PD011</t>
  </si>
  <si>
    <t xml:space="preserve">Retired Teacher </t>
  </si>
  <si>
    <t>Postural instability, Gait disturbance</t>
  </si>
  <si>
    <t>2 times</t>
  </si>
  <si>
    <t>Sometimes</t>
  </si>
  <si>
    <t>Suspected</t>
  </si>
  <si>
    <t>Walker</t>
  </si>
  <si>
    <t>PD012</t>
  </si>
  <si>
    <t>Tremor, Gait disturbance</t>
  </si>
  <si>
    <t>Bathroom bars, Anti-slip flooring</t>
  </si>
  <si>
    <t>PD013</t>
  </si>
  <si>
    <t>NA</t>
  </si>
  <si>
    <t xml:space="preserve">NA </t>
  </si>
  <si>
    <t>Hypertension, Diabetes, Osteoarthritis, Vision problems, Cognitive decline</t>
  </si>
  <si>
    <t>Cane</t>
  </si>
  <si>
    <t>Dizziness or light-headedness, Imbalance while walking</t>
  </si>
  <si>
    <t>BBS</t>
  </si>
  <si>
    <t>MINI-BEST</t>
  </si>
  <si>
    <t>FES</t>
  </si>
  <si>
    <t>Participant’s Name</t>
  </si>
  <si>
    <t>Group</t>
  </si>
  <si>
    <t>Age</t>
  </si>
  <si>
    <t>Educational Level</t>
  </si>
  <si>
    <t>History of Fall</t>
  </si>
  <si>
    <t>Total Years in Welding</t>
  </si>
  <si>
    <t>Type of Welding</t>
  </si>
  <si>
    <t>Work Hours per Day</t>
  </si>
  <si>
    <t>Occupational Exposure [Noise Exposure]</t>
  </si>
  <si>
    <t>Occupational Exposure [Vibration Exposure]</t>
  </si>
  <si>
    <t>Occupational Exposure [Exposure to Fumes]</t>
  </si>
  <si>
    <t>Alcohol Consumption</t>
  </si>
  <si>
    <t>Exercise Frequency</t>
  </si>
  <si>
    <t>Do you have any of the following conditions? (Check all that apply)</t>
  </si>
  <si>
    <t>Use of Personal Protective Equipment (PPE) [Hearing Protection]</t>
  </si>
  <si>
    <t>Use of Personal Protective Equipment (PPE) [Respiratory Protection]</t>
  </si>
  <si>
    <t>Use of Personal Protective Equipment (PPE) [Eye Protection]</t>
  </si>
  <si>
    <t>Type of Residence</t>
  </si>
  <si>
    <t>Living with</t>
  </si>
  <si>
    <t>Condition 1: Eyes Open, Firm Surface - Duration (in seconds)</t>
  </si>
  <si>
    <t>Condition 1: Eyes Open, Firm Surface - Sway</t>
  </si>
  <si>
    <t>Condition 1: Eyes Open, Firm Surface - Fall</t>
  </si>
  <si>
    <t>Condition 2: Eyes Closed, Firm Surface - Duration (in seconds)</t>
  </si>
  <si>
    <t>Condition 2: Eyes Closed, Firm Surface - Sway</t>
  </si>
  <si>
    <t>Condition 2: Eyes Closed, Firm Surface - Fall</t>
  </si>
  <si>
    <t>Condition 3: Eyes Open, Foam Surface - Duration (in seconds)</t>
  </si>
  <si>
    <t>Condition 3: Eyes Open, Foam Surface - Sway</t>
  </si>
  <si>
    <t>Condition 3: Eyes Open, Foam Surface - Fall</t>
  </si>
  <si>
    <t>Condition 4: Eyes Closed, Foam Surface - Duration (in seconds)</t>
  </si>
  <si>
    <t>Condition 4: Eyes Closed, Foam Surface - Sway</t>
  </si>
  <si>
    <t>Condition 4: Eyes Closed, Foam Surface - Fall</t>
  </si>
  <si>
    <t>MINI-BEST SCORE</t>
  </si>
  <si>
    <t>Welders</t>
  </si>
  <si>
    <t>Arc welding</t>
  </si>
  <si>
    <t>Occasional (less than 2 hours/day)</t>
  </si>
  <si>
    <t>Never smoked</t>
  </si>
  <si>
    <t>Occasional (1-2 times/week)</t>
  </si>
  <si>
    <t>Always</t>
  </si>
  <si>
    <t>Family</t>
  </si>
  <si>
    <t>Minimal</t>
  </si>
  <si>
    <t>Constant (more than 4 hours/day)</t>
  </si>
  <si>
    <t>Moderate</t>
  </si>
  <si>
    <t>Primary school</t>
  </si>
  <si>
    <t>MIG welding</t>
  </si>
  <si>
    <t>Frequent (2-4 hours/day)</t>
  </si>
  <si>
    <t>Eye problem</t>
  </si>
  <si>
    <t>Former smoker (quit more than 1 year ago)</t>
  </si>
  <si>
    <t>Occasional (less than once a week)</t>
  </si>
  <si>
    <t>Diabetes, Cardiovascular disease, Respiratory conditions (e.g., asthma, COPD)</t>
  </si>
  <si>
    <t>Angio performed 9 months ago</t>
  </si>
  <si>
    <t>TIG welding</t>
  </si>
  <si>
    <t>Regular (once a week or more)</t>
  </si>
  <si>
    <t>Regular (3 or more times/week)</t>
  </si>
  <si>
    <t>Current smoker</t>
  </si>
  <si>
    <t>Hypertension, Diabetes, Eye problem</t>
  </si>
  <si>
    <t>Severe</t>
  </si>
  <si>
    <t>Severe impairment noted</t>
  </si>
  <si>
    <t>Hip pain and Eye problem</t>
  </si>
  <si>
    <t>Secondary school</t>
  </si>
  <si>
    <t>None of the above</t>
  </si>
  <si>
    <t>none</t>
  </si>
  <si>
    <t>Ok</t>
  </si>
  <si>
    <t>Lower limb fracture 6 months before</t>
  </si>
  <si>
    <t>Hypertension, Diabetes, Headache( migraine) nearly 2 years</t>
  </si>
  <si>
    <t>Single</t>
  </si>
  <si>
    <t>Respiratory conditions (e.g., asthma, COPD), Asthma</t>
  </si>
  <si>
    <t>Roommates</t>
  </si>
  <si>
    <t>Control</t>
  </si>
  <si>
    <t>Past 2 months fall history from bike</t>
  </si>
  <si>
    <t>3 sec</t>
  </si>
  <si>
    <t>3 second</t>
  </si>
  <si>
    <t>2 sec</t>
  </si>
  <si>
    <t>5 sec</t>
  </si>
  <si>
    <t>WD001</t>
  </si>
  <si>
    <t>WD002</t>
  </si>
  <si>
    <t>WD003</t>
  </si>
  <si>
    <t>WD004</t>
  </si>
  <si>
    <t>WD005</t>
  </si>
  <si>
    <t>WD006</t>
  </si>
  <si>
    <t>WD007</t>
  </si>
  <si>
    <t>WD008</t>
  </si>
  <si>
    <t>WD009</t>
  </si>
  <si>
    <t>WD010</t>
  </si>
  <si>
    <t>WD011</t>
  </si>
  <si>
    <t>WD012</t>
  </si>
  <si>
    <t>WD013</t>
  </si>
  <si>
    <t>WD014</t>
  </si>
  <si>
    <t>WD015</t>
  </si>
  <si>
    <t>WD016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</si>
  <si>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</si>
  <si>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</si>
  <si>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</si>
  <si>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</si>
  <si>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</si>
  <si>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</si>
  <si>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</si>
  <si>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</si>
  <si>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</si>
  <si>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</si>
  <si>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Angiotensin II receptor blocker</t>
  </si>
  <si>
    <t>Hypertension, Diabetes, Ear infections, Cardiovascular disease</t>
  </si>
  <si>
    <t>PD014</t>
  </si>
  <si>
    <t>Security</t>
  </si>
  <si>
    <t>Not Applicable</t>
  </si>
  <si>
    <t>Regularly</t>
  </si>
  <si>
    <t>PD015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</si>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</sst>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434343"/>
      <name val="Roboto"/>
    </font>
    <font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8F9FA"/>
      </top>
      <bottom/>
      <diagonal/>
    </border>
    <border>
      <left style="medium">
        <color rgb="FFCCCCCC"/>
      </left>
      <right style="medium">
        <color rgb="FFFFFFFF"/>
      </right>
      <top style="medium">
        <color rgb="FFF8F9FA"/>
      </top>
      <bottom/>
      <diagonal/>
    </border>
    <border>
      <left style="medium">
        <color rgb="FFF8F9FA"/>
      </left>
      <right style="medium">
        <color rgb="FFF8F9FA"/>
      </right>
      <top style="medium">
        <color rgb="FFF8F9FA"/>
      </top>
      <bottom/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1"/>
    <xf numFmtId="0" fontId="3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/>
    </xf>
    <xf numFmtId="0" fontId="5" fillId="3" borderId="3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horizontal="right" vertical="center" wrapText="1"/>
    </xf>
    <xf numFmtId="0" fontId="5" fillId="3" borderId="4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/>
    </xf>
    <xf numFmtId="0" fontId="8" fillId="0" borderId="0" xfId="0" applyFont="1"/>
  </cellXfs>
  <cellStyles count="2">
    <cellStyle name="Normal" xfId="0" builtinId="0"/>
    <cellStyle name="Normal 2" xfId="1" xr:uid="{6686354A-BB62-4D46-A9D4-FA96DC4A82B5}"/>
  </cellStyles>
  <dxfs count="8"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Form responses 1-style" pivot="0" count="4" xr9:uid="{A9956FE3-DC0A-427A-9C05-9938E3EC616E}">
      <tableStyleElement type="wholeTable" size="0" dxfId="7"/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919443-4E2C-4A3F-8106-B65976835673}" name="Form_Responses" displayName="Form_Responses" ref="A1:BV17" totalsRowCount="1">
  <tableColumns count="74">
    <tableColumn id="2" xr3:uid="{7D5B1584-9B25-4A6E-9FAB-CE516DF928A3}" name="Participant ID"/>
    <tableColumn id="5" xr3:uid="{97428188-9335-4C37-9FDF-63EF9BADFD7D}" name="Age (in years)" totalsRowFunction="average"/>
    <tableColumn id="6" xr3:uid="{95BF36DE-43CF-45E4-A438-1BE6F4E83756}" name="Gender"/>
    <tableColumn id="7" xr3:uid="{9C8B486C-C6B0-4BFB-BB27-C53D8BDBD040}" name="Marital Status"/>
    <tableColumn id="8" xr3:uid="{E67D03B1-D56B-4E06-A75F-2BE4F80822C1}" name="Education Level"/>
    <tableColumn id="9" xr3:uid="{FCBAAC37-0B2A-4602-99CB-5D9736618CC9}" name="Occupation (before PD or current)"/>
    <tableColumn id="10" xr3:uid="{1E7D26F3-6896-44C9-A13F-B2440FA88878}" name="Place of Residence"/>
    <tableColumn id="11" xr3:uid="{6847E9F5-6436-4B29-BC6D-5B5CD2C1602F}" name="Year of PD Diagnosis"/>
    <tableColumn id="12" xr3:uid="{95B50688-77FC-4A97-9654-76401A2DA9A0}" name="Disease Duration (years/months)"/>
    <tableColumn id="13" xr3:uid="{3C849ED9-0E27-4C51-A4A5-C9BE12506A07}" name="Current Stage of PD (Hoehn &amp; Yahr)"/>
    <tableColumn id="14" xr3:uid="{A32F50C7-6C62-47C5-848F-2F2329C63C4E}" name="Main Symptoms at Onset"/>
    <tableColumn id="15" xr3:uid="{74A9203A-FC32-4706-B6F4-D1A7373C51BA}" name="Laterality of Onset"/>
    <tableColumn id="16" xr3:uid="{6533008A-9BA7-4D14-9455-E16BFEC79E9E}" name="Levodopa"/>
    <tableColumn id="17" xr3:uid="{16A5CC22-AA55-4BE6-83CE-6F736513BEF8}" name="Dopamine agonists"/>
    <tableColumn id="18" xr3:uid="{9D1BF63B-8E14-47CB-9EA2-E0183D933CBB}" name="MAO-B inhibitors"/>
    <tableColumn id="19" xr3:uid="{26713C79-F605-4729-8FDD-F6465190353E}" name="COMT inhibitors"/>
    <tableColumn id="20" xr3:uid="{2E4BF2B8-B160-4E8E-AD73-BBA53444F09D}" name="Other Medications"/>
    <tableColumn id="21" xr3:uid="{8509366E-1EB1-483F-8AF0-187E25A86A98}" name="ON/OFF Symptoms Present?"/>
    <tableColumn id="22" xr3:uid="{9AFF1186-8128-401D-980C-CCB68A8768C8}" name="Number of Falls in the Last 6 Months"/>
    <tableColumn id="23" xr3:uid="{F5E92592-23AA-49F0-8A6C-4A96CBDFE4FE}" name="History of Freezing of Gait (FOG)"/>
    <tableColumn id="24" xr3:uid="{1DEB5CFC-D9C4-4EC8-8E35-1F41FB155AD4}" name="Comorbidities"/>
    <tableColumn id="25" xr3:uid="{F116AED7-2CC2-4356-9C72-C8652C8B430C}" name="MMSE (/30)"/>
    <tableColumn id="26" xr3:uid="{EE6DABD8-64CA-4FEA-A3F5-A1658814818B}" name="Any diagnosed dementia?"/>
    <tableColumn id="27" xr3:uid="{DAD34178-2497-4265-835F-9C4BFEA61277}" name="Assistive Devices Used"/>
    <tableColumn id="28" xr3:uid="{97E05B4C-14A5-4ED9-8A9E-B240FD3B5BAC}" name="Smoking Status"/>
    <tableColumn id="29" xr3:uid="{234EC298-23B7-4064-ADC9-839B35B2CB96}" name="Alcohol Use"/>
    <tableColumn id="30" xr3:uid="{A84FD84A-EC34-401B-85FF-3183527FAB15}" name="Do you experience any of the following?"/>
    <tableColumn id="31" xr3:uid="{816A0844-64E3-467E-999F-987C2521498D}" name="Previously diagnosed vestibular disorder?"/>
    <tableColumn id="32" xr3:uid="{84A1650E-4A4D-45D2-880A-7C008A34BDC8}" name="If yes, specify"/>
    <tableColumn id="33" xr3:uid="{27188EDD-3E70-4E0F-9911-B020F85DD69C}" name="Use of Home Modifications or Safety Aids"/>
    <tableColumn id="34" xr3:uid="{FCF73B9C-9CE3-4FF9-96DB-28000A28896E}" name="Sitting to Standing"/>
    <tableColumn id="35" xr3:uid="{64C18E23-5D83-4284-A44F-50C5D72F41E9}" name="Standing Unsupported"/>
    <tableColumn id="36" xr3:uid="{CEA4AD07-3397-4141-9A0D-1B66816FBA62}" name="Sitting Unsupported"/>
    <tableColumn id="37" xr3:uid="{10C9E0B5-6000-4A64-8E98-49BD05C6FB3B}" name="Standing to Sitting"/>
    <tableColumn id="38" xr3:uid="{E3BA1052-2B4C-4738-A0E9-5115B43474AC}" name="Transfers"/>
    <tableColumn id="39" xr3:uid="{048DC6F9-3AEC-4937-A7D0-BC92DDA8A6F9}" name="Standing with Eyes Closed"/>
    <tableColumn id="40" xr3:uid="{F5E32E6D-191D-4DB0-83B5-54448CFF6654}" name="Standing with Feet Together"/>
    <tableColumn id="41" xr3:uid="{3A317A3A-E476-4D9A-A851-750A8D21CD55}" name="Reaching Forward with Outstretched Arm"/>
    <tableColumn id="42" xr3:uid="{A7D1E2B9-8740-469A-AE41-306A9CC9CD75}" name="Retrieving an Object from the Floor"/>
    <tableColumn id="43" xr3:uid="{D9C1A4CB-EFC1-410B-AA01-61F3940BB325}" name="Turning to Look Behind Over Left and Right Shoulders"/>
    <tableColumn id="44" xr3:uid="{64BB49A8-9D13-41B9-B9C3-667BC38E062F}" name="Turning 360 Degrees"/>
    <tableColumn id="45" xr3:uid="{3CAE32B0-268E-46E4-BB90-F4015E02F522}" name="Placing Alternate Foot on Stool"/>
    <tableColumn id="46" xr3:uid="{34DF32C7-17E1-48CC-9B9F-0B70F60AA64D}" name="Standing with One Foot in Front"/>
    <tableColumn id="47" xr3:uid="{D22E7137-234B-4F7B-87CE-B05EA4A130DF}" name="Standing on One Leg"/>
    <tableColumn id="1" xr3:uid="{1FF5FFFE-2D64-44BA-8E41-E9653D355352}" name="Additional Comments" dataDxfId="3"/>
    <tableColumn id="48" xr3:uid="{B630DC9A-5AEA-4019-8C5E-4E26089877F3}" name="BBS" dataDxfId="2">
      <calculatedColumnFormula>Form_Responses[[#This Row],[Sitting to Standing]]+SUM(Form_Responses[[#This Row],[Sitting to Standing]:[Standing on One Leg]])</calculatedColumnFormula>
    </tableColumn>
    <tableColumn id="49" xr3:uid="{78A06A5E-D4B6-43AD-AB03-265772971B28}" name="Sit to Stand (Anticipatory Postural Adjustments)"/>
    <tableColumn id="50" xr3:uid="{1D6BCEB5-C47A-48E5-9F70-C1A9D995C32C}" name="Rise to Toes (Anticipatory Postural Adjustments)"/>
    <tableColumn id="51" xr3:uid="{BE2E619F-7D0D-426A-ABBD-616B79B26A85}" name="Stand on One Leg (Anticipatory Postural Adjustments)"/>
    <tableColumn id="52" xr3:uid="{2DB6788D-5B26-403D-A836-3B3995462017}" name="Compensatory Stepping Correction - Forward (Reactive Postural Control)"/>
    <tableColumn id="53" xr3:uid="{D1323AB5-3962-42BA-9389-6D4137DFA17D}" name="Compensatory Stepping Correction - Backward (Reactive Postural Control)"/>
    <tableColumn id="54" xr3:uid="{A74AA6CE-173D-4034-903C-76A148915EC0}" name="Compensatory Stepping Correction - Lateral (Reactive Postural Control)"/>
    <tableColumn id="55" xr3:uid="{DF4ECE43-28F7-48B2-8D85-F2A97F6677FE}" name="Standing with Feet Together, Eyes Open, Firm Surface (Sensory Orientation)"/>
    <tableColumn id="56" xr3:uid="{5C769E15-CCB7-453D-9019-B42F8120196D}" name="Standing with Feet Together, Eyes Closed, Foam Surface (Sensory Orientation)"/>
    <tableColumn id="57" xr3:uid="{9DC613FB-1421-47D7-817F-42D68919C4CB}" name="Incline, Eyes Closed (Sensory Orientation)"/>
    <tableColumn id="58" xr3:uid="{EFDCE7DC-D288-4398-A1CC-071A96ADCC3C}" name="Change in Gait Speed (Dynamic Gait)"/>
    <tableColumn id="59" xr3:uid="{A54D1154-D306-4764-986A-0DA0908763E8}" name="Walk with Horizontal Head Turns (Dynamic Gait)"/>
    <tableColumn id="60" xr3:uid="{DC31F73F-023B-406C-B117-B83FE8CC1295}" name="Walk with Pivot Turns (Dynamic Gait)"/>
    <tableColumn id="61" xr3:uid="{5D6BB32A-E977-4D41-82C1-21092FEC6E89}" name="Step Over Obstacles (Dynamic Gait)"/>
    <tableColumn id="62" xr3:uid="{3ABE1044-4F04-4A13-BC98-B257334E9A52}" name="Tandem Walk (Dynamic Gait)"/>
    <tableColumn id="63" xr3:uid="{1FF3199C-052D-4081-9A69-F2CC000EBA5A}" name="Additional Comments 2"/>
    <tableColumn id="75" xr3:uid="{C13D58BD-2C8B-4658-A7E5-1D4833A85B85}" name="MINI-BEST" dataDxfId="1">
      <calculatedColumnFormula>SUM(Form_Responses[[#This Row],[Sit to Stand (Anticipatory Postural Adjustments)]:[Tandem Walk (Dynamic Gait)]])</calculatedColumnFormula>
    </tableColumn>
    <tableColumn id="64" xr3:uid="{C4B349B4-2DFE-41F4-BEDE-F464F4164402}" name="How confident are you in Taking a bath or shower without falling?"/>
    <tableColumn id="65" xr3:uid="{7216F02F-C485-4205-AEF8-1DA0C0356F37}" name="How confident are you in Reaching into cabinets or closets without falling?"/>
    <tableColumn id="66" xr3:uid="{1E8FFFE2-5380-4D3C-ADAC-E8CBF21B9B3D}" name="How confident are you in Walking around the house without falling?"/>
    <tableColumn id="67" xr3:uid="{D79EA57D-ABCD-4368-A6CE-3A6D5AF32230}" name="How confident are you in Preparing meals not requiring carrying heavy or hot objects without falling?"/>
    <tableColumn id="68" xr3:uid="{C3B7A377-332E-4A0E-8CA4-8E9ED40A7979}" name="How confident are you in Getting in and out of bed without falling?"/>
    <tableColumn id="69" xr3:uid="{6751EF40-AB55-439D-8866-983241A85AB7}" name="How confident are you in Answering the door or telephone without falling?"/>
    <tableColumn id="70" xr3:uid="{D497F1A1-CE90-4172-B945-3F0732804A52}" name="How confident are you in Getting in and out of a chair without falling?"/>
    <tableColumn id="71" xr3:uid="{87629FE7-1A62-4D92-B97B-AA63308F2A02}" name="How confident are you in Getting dressed and undressed without falling?"/>
    <tableColumn id="72" xr3:uid="{6FE8C15C-9099-4887-8CF1-C2B83EBECAD9}" name="How confident are you in Personal grooming (e.g., washing face) without falling?"/>
    <tableColumn id="73" xr3:uid="{9352F10A-9F52-40F5-81A5-0F55609FFA9F}" name="How confident are you in Getting on and off the toilet without falling?"/>
    <tableColumn id="74" xr3:uid="{CBE5F6EF-FD89-4439-A3F8-657093C6336E}" name="Additional Comments 3"/>
    <tableColumn id="76" xr3:uid="{97F99AC9-5C13-4FB6-B973-1CA23F903DE8}" name="FES" dataDxfId="0">
      <calculatedColumnFormula>SUM(Form_Responses[[#This Row],[How confident are you in Taking a bath or shower without falling?]:[How confident are you in Getting on and off the toilet without falling?]])</calculatedColumnFormula>
    </tableColumn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E578E-D35D-4170-A65A-547025885967}">
  <dimension ref="A1:BV18"/>
  <sheetViews>
    <sheetView tabSelected="1" topLeftCell="A11" zoomScale="80" workbookViewId="0">
      <selection activeCell="B18" sqref="B18"/>
    </sheetView>
  </sheetViews>
  <sheetFormatPr defaultRowHeight="14.4" x14ac:dyDescent="0.3"/>
  <cols>
    <col min="7" max="7" width="15.33203125" customWidth="1"/>
    <col min="9" max="9" width="21.109375" customWidth="1"/>
    <col min="19" max="19" width="17.44140625" customWidth="1"/>
  </cols>
  <sheetData>
    <row r="1" spans="1:7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t="s">
        <v>169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4" t="s">
        <v>170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t="s">
        <v>171</v>
      </c>
    </row>
    <row r="2" spans="1:74" x14ac:dyDescent="0.3">
      <c r="A2" s="2" t="s">
        <v>71</v>
      </c>
      <c r="B2" s="2">
        <v>73</v>
      </c>
      <c r="C2" s="2" t="s">
        <v>72</v>
      </c>
      <c r="D2" s="2" t="s">
        <v>73</v>
      </c>
      <c r="E2" s="2" t="s">
        <v>74</v>
      </c>
      <c r="F2" s="2" t="s">
        <v>75</v>
      </c>
      <c r="G2" s="2" t="s">
        <v>76</v>
      </c>
      <c r="H2" s="2">
        <v>2025</v>
      </c>
      <c r="I2" s="2">
        <v>1</v>
      </c>
      <c r="J2" s="2">
        <v>1</v>
      </c>
      <c r="K2" s="2" t="s">
        <v>77</v>
      </c>
      <c r="L2" s="2" t="s">
        <v>78</v>
      </c>
      <c r="M2" s="2" t="s">
        <v>79</v>
      </c>
      <c r="N2" s="2" t="s">
        <v>79</v>
      </c>
      <c r="O2" s="2" t="s">
        <v>79</v>
      </c>
      <c r="P2" s="2" t="s">
        <v>79</v>
      </c>
      <c r="Q2" s="2" t="s">
        <v>80</v>
      </c>
      <c r="R2" s="2" t="s">
        <v>81</v>
      </c>
      <c r="S2" s="2">
        <v>1</v>
      </c>
      <c r="T2" s="2" t="s">
        <v>79</v>
      </c>
      <c r="U2" s="2" t="s">
        <v>82</v>
      </c>
      <c r="V2" s="2">
        <v>30</v>
      </c>
      <c r="W2" s="2" t="s">
        <v>81</v>
      </c>
      <c r="X2" s="2" t="s">
        <v>82</v>
      </c>
      <c r="Y2" s="2" t="s">
        <v>83</v>
      </c>
      <c r="Z2" s="2" t="s">
        <v>83</v>
      </c>
      <c r="AA2" s="2" t="s">
        <v>84</v>
      </c>
      <c r="AB2" s="2" t="s">
        <v>79</v>
      </c>
      <c r="AC2" s="2"/>
      <c r="AD2" s="2" t="s">
        <v>82</v>
      </c>
      <c r="AE2" s="2">
        <v>3</v>
      </c>
      <c r="AF2" s="2">
        <v>4</v>
      </c>
      <c r="AG2" s="2">
        <v>4</v>
      </c>
      <c r="AH2" s="2">
        <v>4</v>
      </c>
      <c r="AI2" s="2">
        <v>4</v>
      </c>
      <c r="AJ2" s="2">
        <v>4</v>
      </c>
      <c r="AK2" s="2">
        <v>2</v>
      </c>
      <c r="AL2" s="2">
        <v>4</v>
      </c>
      <c r="AM2" s="2">
        <v>3</v>
      </c>
      <c r="AN2" s="2">
        <v>4</v>
      </c>
      <c r="AO2" s="2">
        <v>4</v>
      </c>
      <c r="AP2" s="2">
        <v>3</v>
      </c>
      <c r="AQ2" s="2">
        <v>2</v>
      </c>
      <c r="AR2" s="2">
        <v>3</v>
      </c>
      <c r="AS2" s="2"/>
      <c r="AT2">
        <f>Form_Responses[[#This Row],[Sitting to Standing]]+SUM(Form_Responses[[#This Row],[Sitting to Standing]:[Standing on One Leg]])</f>
        <v>51</v>
      </c>
      <c r="AU2" s="2">
        <v>2</v>
      </c>
      <c r="AV2" s="2">
        <v>2</v>
      </c>
      <c r="AW2" s="2">
        <v>1</v>
      </c>
      <c r="AX2" s="2">
        <v>2</v>
      </c>
      <c r="AY2" s="2">
        <v>2</v>
      </c>
      <c r="AZ2" s="2">
        <v>2</v>
      </c>
      <c r="BA2" s="2">
        <v>2</v>
      </c>
      <c r="BB2" s="2">
        <v>2</v>
      </c>
      <c r="BC2" s="2">
        <v>0</v>
      </c>
      <c r="BD2" s="2">
        <v>1</v>
      </c>
      <c r="BE2" s="2">
        <v>1</v>
      </c>
      <c r="BF2" s="2">
        <v>2</v>
      </c>
      <c r="BG2" s="2">
        <v>2</v>
      </c>
      <c r="BH2" s="2">
        <v>1</v>
      </c>
      <c r="BI2" s="2"/>
      <c r="BJ2" s="2">
        <f>SUM(Form_Responses[[#This Row],[Sit to Stand (Anticipatory Postural Adjustments)]:[Tandem Walk (Dynamic Gait)]])</f>
        <v>22</v>
      </c>
      <c r="BK2" s="3">
        <v>2</v>
      </c>
      <c r="BL2" s="3">
        <v>5</v>
      </c>
      <c r="BM2" s="3">
        <v>4</v>
      </c>
      <c r="BN2" s="3">
        <v>2</v>
      </c>
      <c r="BO2" s="3">
        <v>3</v>
      </c>
      <c r="BP2" s="3">
        <v>1</v>
      </c>
      <c r="BQ2" s="3">
        <v>2</v>
      </c>
      <c r="BR2" s="3">
        <v>6</v>
      </c>
      <c r="BS2" s="3">
        <v>2</v>
      </c>
      <c r="BT2" s="3">
        <v>3</v>
      </c>
      <c r="BU2" s="2"/>
      <c r="BV2">
        <f>SUM(Form_Responses[[#This Row],[How confident are you in Taking a bath or shower without falling?]:[How confident are you in Getting on and off the toilet without falling?]])</f>
        <v>30</v>
      </c>
    </row>
    <row r="3" spans="1:74" x14ac:dyDescent="0.3">
      <c r="A3" s="2" t="s">
        <v>85</v>
      </c>
      <c r="B3" s="2">
        <v>65</v>
      </c>
      <c r="C3" s="2" t="s">
        <v>72</v>
      </c>
      <c r="D3" s="2" t="s">
        <v>73</v>
      </c>
      <c r="E3" s="2" t="s">
        <v>86</v>
      </c>
      <c r="F3" s="2" t="s">
        <v>87</v>
      </c>
      <c r="G3" s="2" t="s">
        <v>76</v>
      </c>
      <c r="H3" s="2" t="s">
        <v>88</v>
      </c>
      <c r="I3" s="2">
        <v>2</v>
      </c>
      <c r="J3" s="2">
        <v>1</v>
      </c>
      <c r="K3" s="2" t="s">
        <v>89</v>
      </c>
      <c r="L3" s="2" t="s">
        <v>90</v>
      </c>
      <c r="M3" s="2" t="s">
        <v>81</v>
      </c>
      <c r="N3" s="2" t="s">
        <v>81</v>
      </c>
      <c r="O3" s="2" t="s">
        <v>79</v>
      </c>
      <c r="P3" s="2" t="s">
        <v>79</v>
      </c>
      <c r="Q3" s="2" t="s">
        <v>79</v>
      </c>
      <c r="R3" s="2" t="s">
        <v>81</v>
      </c>
      <c r="S3" s="2" t="s">
        <v>79</v>
      </c>
      <c r="T3" s="2" t="s">
        <v>79</v>
      </c>
      <c r="U3" s="2" t="s">
        <v>91</v>
      </c>
      <c r="V3" s="2">
        <v>30</v>
      </c>
      <c r="W3" s="2" t="s">
        <v>79</v>
      </c>
      <c r="X3" s="2" t="s">
        <v>82</v>
      </c>
      <c r="Y3" s="2" t="s">
        <v>83</v>
      </c>
      <c r="Z3" s="2" t="s">
        <v>92</v>
      </c>
      <c r="AA3" s="2" t="s">
        <v>84</v>
      </c>
      <c r="AB3" s="2" t="s">
        <v>79</v>
      </c>
      <c r="AC3" s="2" t="s">
        <v>79</v>
      </c>
      <c r="AD3" s="2" t="s">
        <v>82</v>
      </c>
      <c r="AE3" s="2">
        <v>4</v>
      </c>
      <c r="AF3" s="2">
        <v>4</v>
      </c>
      <c r="AG3" s="2">
        <v>4</v>
      </c>
      <c r="AH3" s="2">
        <v>4</v>
      </c>
      <c r="AI3" s="2">
        <v>4</v>
      </c>
      <c r="AJ3" s="2">
        <v>2</v>
      </c>
      <c r="AK3" s="2">
        <v>3</v>
      </c>
      <c r="AL3" s="2">
        <v>3</v>
      </c>
      <c r="AM3" s="2">
        <v>3</v>
      </c>
      <c r="AN3" s="2">
        <v>2</v>
      </c>
      <c r="AO3" s="2">
        <v>3</v>
      </c>
      <c r="AP3" s="2">
        <v>3</v>
      </c>
      <c r="AQ3" s="2">
        <v>3</v>
      </c>
      <c r="AR3" s="2">
        <v>2</v>
      </c>
      <c r="AS3" s="2"/>
      <c r="AT3">
        <f>Form_Responses[[#This Row],[Sitting to Standing]]+SUM(Form_Responses[[#This Row],[Sitting to Standing]:[Standing on One Leg]])</f>
        <v>48</v>
      </c>
      <c r="AU3" s="2">
        <v>1</v>
      </c>
      <c r="AV3" s="2">
        <v>1</v>
      </c>
      <c r="AW3" s="2">
        <v>1</v>
      </c>
      <c r="AX3" s="2">
        <v>1</v>
      </c>
      <c r="AY3" s="2">
        <v>1</v>
      </c>
      <c r="AZ3" s="2">
        <v>1</v>
      </c>
      <c r="BA3" s="2">
        <v>1</v>
      </c>
      <c r="BB3" s="2">
        <v>1</v>
      </c>
      <c r="BC3" s="2">
        <v>1</v>
      </c>
      <c r="BD3" s="2">
        <v>1</v>
      </c>
      <c r="BE3" s="2">
        <v>1</v>
      </c>
      <c r="BF3" s="2">
        <v>1</v>
      </c>
      <c r="BG3" s="2">
        <v>1</v>
      </c>
      <c r="BH3" s="2">
        <v>1</v>
      </c>
      <c r="BI3" s="2"/>
      <c r="BJ3" s="2">
        <f>SUM(Form_Responses[[#This Row],[Sit to Stand (Anticipatory Postural Adjustments)]:[Tandem Walk (Dynamic Gait)]])</f>
        <v>14</v>
      </c>
      <c r="BK3" s="3">
        <v>1</v>
      </c>
      <c r="BL3" s="3">
        <v>1</v>
      </c>
      <c r="BM3" s="3">
        <v>2</v>
      </c>
      <c r="BN3" s="3">
        <v>3</v>
      </c>
      <c r="BO3" s="3">
        <v>3</v>
      </c>
      <c r="BP3" s="3">
        <v>1</v>
      </c>
      <c r="BQ3" s="3">
        <v>1</v>
      </c>
      <c r="BR3" s="3">
        <v>1</v>
      </c>
      <c r="BS3" s="3">
        <v>1</v>
      </c>
      <c r="BT3" s="3">
        <v>2</v>
      </c>
      <c r="BU3" s="2"/>
      <c r="BV3">
        <f>SUM(Form_Responses[[#This Row],[How confident are you in Taking a bath or shower without falling?]:[How confident are you in Getting on and off the toilet without falling?]])</f>
        <v>16</v>
      </c>
    </row>
    <row r="4" spans="1:74" x14ac:dyDescent="0.3">
      <c r="A4" s="2" t="s">
        <v>93</v>
      </c>
      <c r="B4" s="2">
        <v>70</v>
      </c>
      <c r="C4" s="2" t="s">
        <v>72</v>
      </c>
      <c r="D4" s="2" t="s">
        <v>73</v>
      </c>
      <c r="E4" s="2" t="s">
        <v>94</v>
      </c>
      <c r="F4" s="2" t="s">
        <v>95</v>
      </c>
      <c r="G4" s="2" t="s">
        <v>96</v>
      </c>
      <c r="H4" s="2" t="s">
        <v>97</v>
      </c>
      <c r="I4" s="2">
        <v>5</v>
      </c>
      <c r="J4" s="2">
        <v>4</v>
      </c>
      <c r="K4" s="2" t="s">
        <v>98</v>
      </c>
      <c r="L4" s="2" t="s">
        <v>78</v>
      </c>
      <c r="M4" s="2" t="s">
        <v>79</v>
      </c>
      <c r="N4" s="2" t="s">
        <v>79</v>
      </c>
      <c r="O4" s="2" t="s">
        <v>79</v>
      </c>
      <c r="P4" s="2" t="s">
        <v>79</v>
      </c>
      <c r="Q4" s="2" t="s">
        <v>99</v>
      </c>
      <c r="R4" s="2" t="s">
        <v>79</v>
      </c>
      <c r="S4" s="2">
        <v>3</v>
      </c>
      <c r="T4" s="2" t="s">
        <v>81</v>
      </c>
      <c r="U4" s="2" t="s">
        <v>100</v>
      </c>
      <c r="V4" s="2">
        <v>27</v>
      </c>
      <c r="W4" s="2" t="s">
        <v>79</v>
      </c>
      <c r="X4" s="2" t="s">
        <v>82</v>
      </c>
      <c r="Y4" s="2" t="s">
        <v>101</v>
      </c>
      <c r="Z4" s="2" t="s">
        <v>92</v>
      </c>
      <c r="AA4" s="2" t="s">
        <v>102</v>
      </c>
      <c r="AB4" s="2" t="s">
        <v>79</v>
      </c>
      <c r="AC4" s="2"/>
      <c r="AD4" s="2" t="s">
        <v>82</v>
      </c>
      <c r="AE4" s="2">
        <v>2</v>
      </c>
      <c r="AF4" s="2">
        <v>3</v>
      </c>
      <c r="AG4" s="2">
        <v>3</v>
      </c>
      <c r="AH4" s="2">
        <v>1</v>
      </c>
      <c r="AI4" s="2">
        <v>1</v>
      </c>
      <c r="AJ4" s="2">
        <v>1</v>
      </c>
      <c r="AK4" s="2">
        <v>2</v>
      </c>
      <c r="AL4" s="2">
        <v>2</v>
      </c>
      <c r="AM4" s="2">
        <v>2</v>
      </c>
      <c r="AN4" s="2">
        <v>0</v>
      </c>
      <c r="AO4" s="2">
        <v>0</v>
      </c>
      <c r="AP4" s="2">
        <v>2</v>
      </c>
      <c r="AQ4" s="2">
        <v>0</v>
      </c>
      <c r="AR4" s="2">
        <v>0</v>
      </c>
      <c r="AS4" s="2"/>
      <c r="AT4">
        <f>Form_Responses[[#This Row],[Sitting to Standing]]+SUM(Form_Responses[[#This Row],[Sitting to Standing]:[Standing on One Leg]])</f>
        <v>21</v>
      </c>
      <c r="AU4" s="2">
        <v>1</v>
      </c>
      <c r="AV4" s="2">
        <v>1</v>
      </c>
      <c r="AW4" s="2">
        <v>0</v>
      </c>
      <c r="AX4" s="2">
        <v>1</v>
      </c>
      <c r="AY4" s="2">
        <v>1</v>
      </c>
      <c r="AZ4" s="2">
        <v>0</v>
      </c>
      <c r="BA4" s="2">
        <v>1</v>
      </c>
      <c r="BB4" s="2">
        <v>1</v>
      </c>
      <c r="BC4" s="2">
        <v>0</v>
      </c>
      <c r="BD4" s="2">
        <v>1</v>
      </c>
      <c r="BE4" s="2">
        <v>0</v>
      </c>
      <c r="BF4" s="2">
        <v>1</v>
      </c>
      <c r="BG4" s="2">
        <v>1</v>
      </c>
      <c r="BH4" s="2">
        <v>1</v>
      </c>
      <c r="BI4" s="2"/>
      <c r="BJ4" s="2">
        <f>SUM(Form_Responses[[#This Row],[Sit to Stand (Anticipatory Postural Adjustments)]:[Tandem Walk (Dynamic Gait)]])</f>
        <v>10</v>
      </c>
      <c r="BK4" s="3">
        <v>4</v>
      </c>
      <c r="BL4" s="3">
        <v>4</v>
      </c>
      <c r="BM4" s="3">
        <v>4</v>
      </c>
      <c r="BN4" s="3">
        <v>7</v>
      </c>
      <c r="BO4" s="3">
        <v>4</v>
      </c>
      <c r="BP4" s="3">
        <v>4</v>
      </c>
      <c r="BQ4" s="3">
        <v>4</v>
      </c>
      <c r="BR4" s="3">
        <v>5</v>
      </c>
      <c r="BS4" s="3">
        <v>4</v>
      </c>
      <c r="BT4" s="3">
        <v>5</v>
      </c>
      <c r="BU4" s="2"/>
      <c r="BV4">
        <f>SUM(Form_Responses[[#This Row],[How confident are you in Taking a bath or shower without falling?]:[How confident are you in Getting on and off the toilet without falling?]])</f>
        <v>45</v>
      </c>
    </row>
    <row r="5" spans="1:74" x14ac:dyDescent="0.3">
      <c r="A5" s="2" t="s">
        <v>103</v>
      </c>
      <c r="B5" s="2">
        <v>79</v>
      </c>
      <c r="C5" s="2" t="s">
        <v>104</v>
      </c>
      <c r="D5" s="2" t="s">
        <v>105</v>
      </c>
      <c r="E5" s="2" t="s">
        <v>74</v>
      </c>
      <c r="F5" s="2" t="s">
        <v>106</v>
      </c>
      <c r="G5" s="2" t="s">
        <v>96</v>
      </c>
      <c r="H5" s="2">
        <v>2023</v>
      </c>
      <c r="I5" s="2">
        <v>2</v>
      </c>
      <c r="J5" s="2">
        <v>3</v>
      </c>
      <c r="K5" s="2" t="s">
        <v>107</v>
      </c>
      <c r="L5" s="2" t="s">
        <v>78</v>
      </c>
      <c r="M5" s="2" t="s">
        <v>81</v>
      </c>
      <c r="N5" s="2" t="s">
        <v>81</v>
      </c>
      <c r="O5" s="2" t="s">
        <v>79</v>
      </c>
      <c r="P5" s="2" t="s">
        <v>79</v>
      </c>
      <c r="Q5" s="2" t="s">
        <v>108</v>
      </c>
      <c r="R5" s="2" t="s">
        <v>81</v>
      </c>
      <c r="S5" s="2" t="s">
        <v>81</v>
      </c>
      <c r="T5" s="2" t="s">
        <v>81</v>
      </c>
      <c r="U5" s="2" t="s">
        <v>109</v>
      </c>
      <c r="V5" s="2">
        <v>20</v>
      </c>
      <c r="W5" s="2" t="s">
        <v>79</v>
      </c>
      <c r="X5" s="2" t="s">
        <v>110</v>
      </c>
      <c r="Y5" s="2" t="s">
        <v>83</v>
      </c>
      <c r="Z5" s="2" t="s">
        <v>83</v>
      </c>
      <c r="AA5" s="2" t="s">
        <v>84</v>
      </c>
      <c r="AB5" s="2" t="s">
        <v>79</v>
      </c>
      <c r="AC5" s="2" t="s">
        <v>81</v>
      </c>
      <c r="AD5" s="2" t="s">
        <v>111</v>
      </c>
      <c r="AE5" s="2">
        <v>0</v>
      </c>
      <c r="AF5" s="2">
        <v>2</v>
      </c>
      <c r="AG5" s="2">
        <v>2</v>
      </c>
      <c r="AH5" s="2">
        <v>1</v>
      </c>
      <c r="AI5" s="2">
        <v>1</v>
      </c>
      <c r="AJ5" s="2">
        <v>1</v>
      </c>
      <c r="AK5" s="2">
        <v>1</v>
      </c>
      <c r="AL5" s="2">
        <v>1</v>
      </c>
      <c r="AM5" s="2">
        <v>0</v>
      </c>
      <c r="AN5" s="2">
        <v>1</v>
      </c>
      <c r="AO5" s="2">
        <v>1</v>
      </c>
      <c r="AP5" s="2">
        <v>2</v>
      </c>
      <c r="AQ5" s="2">
        <v>2</v>
      </c>
      <c r="AR5" s="2">
        <v>1</v>
      </c>
      <c r="AS5" s="2" t="s">
        <v>112</v>
      </c>
      <c r="AT5">
        <f>Form_Responses[[#This Row],[Sitting to Standing]]+SUM(Form_Responses[[#This Row],[Sitting to Standing]:[Standing on One Leg]])</f>
        <v>16</v>
      </c>
      <c r="AU5" s="2">
        <v>1</v>
      </c>
      <c r="AV5" s="2">
        <v>0</v>
      </c>
      <c r="AW5" s="2">
        <v>0</v>
      </c>
      <c r="AX5" s="2">
        <v>1</v>
      </c>
      <c r="AY5" s="2">
        <v>0</v>
      </c>
      <c r="AZ5" s="2">
        <v>0</v>
      </c>
      <c r="BA5" s="2">
        <v>1</v>
      </c>
      <c r="BB5" s="2">
        <v>1</v>
      </c>
      <c r="BC5" s="2">
        <v>1</v>
      </c>
      <c r="BD5" s="2">
        <v>0</v>
      </c>
      <c r="BE5" s="2">
        <v>1</v>
      </c>
      <c r="BF5" s="2">
        <v>0</v>
      </c>
      <c r="BG5" s="2">
        <v>0</v>
      </c>
      <c r="BH5" s="2">
        <v>0</v>
      </c>
      <c r="BI5" s="2"/>
      <c r="BJ5" s="2">
        <f>SUM(Form_Responses[[#This Row],[Sit to Stand (Anticipatory Postural Adjustments)]:[Tandem Walk (Dynamic Gait)]])</f>
        <v>6</v>
      </c>
      <c r="BK5" s="3">
        <v>8</v>
      </c>
      <c r="BL5" s="3">
        <v>9</v>
      </c>
      <c r="BM5" s="3">
        <v>9</v>
      </c>
      <c r="BN5" s="3">
        <v>10</v>
      </c>
      <c r="BO5" s="3">
        <v>8</v>
      </c>
      <c r="BP5" s="3">
        <v>8</v>
      </c>
      <c r="BQ5" s="3">
        <v>8</v>
      </c>
      <c r="BR5" s="3">
        <v>9</v>
      </c>
      <c r="BS5" s="3">
        <v>9</v>
      </c>
      <c r="BT5" s="3">
        <v>8</v>
      </c>
      <c r="BU5" s="2"/>
      <c r="BV5">
        <f>SUM(Form_Responses[[#This Row],[How confident are you in Taking a bath or shower without falling?]:[How confident are you in Getting on and off the toilet without falling?]])</f>
        <v>86</v>
      </c>
    </row>
    <row r="6" spans="1:74" x14ac:dyDescent="0.3">
      <c r="A6" s="2" t="s">
        <v>113</v>
      </c>
      <c r="B6" s="2">
        <v>77</v>
      </c>
      <c r="C6" s="2" t="s">
        <v>72</v>
      </c>
      <c r="D6" s="2" t="s">
        <v>73</v>
      </c>
      <c r="E6" s="2" t="s">
        <v>86</v>
      </c>
      <c r="F6" s="2" t="s">
        <v>114</v>
      </c>
      <c r="G6" s="2" t="s">
        <v>96</v>
      </c>
      <c r="H6" s="2">
        <v>2014</v>
      </c>
      <c r="I6" s="2">
        <v>10</v>
      </c>
      <c r="J6" s="2">
        <v>3</v>
      </c>
      <c r="K6" s="2" t="s">
        <v>115</v>
      </c>
      <c r="L6" s="2" t="s">
        <v>90</v>
      </c>
      <c r="M6" s="2" t="s">
        <v>79</v>
      </c>
      <c r="N6" s="2" t="s">
        <v>79</v>
      </c>
      <c r="O6" s="2" t="s">
        <v>79</v>
      </c>
      <c r="P6" s="2" t="s">
        <v>79</v>
      </c>
      <c r="Q6" s="2" t="s">
        <v>79</v>
      </c>
      <c r="R6" s="2" t="s">
        <v>81</v>
      </c>
      <c r="S6" s="2" t="s">
        <v>116</v>
      </c>
      <c r="T6" s="2" t="s">
        <v>81</v>
      </c>
      <c r="U6" s="2" t="s">
        <v>91</v>
      </c>
      <c r="V6" s="2">
        <v>11</v>
      </c>
      <c r="W6" s="2" t="s">
        <v>81</v>
      </c>
      <c r="X6" s="2" t="s">
        <v>117</v>
      </c>
      <c r="Y6" s="2" t="s">
        <v>83</v>
      </c>
      <c r="Z6" s="2" t="s">
        <v>83</v>
      </c>
      <c r="AA6" s="2" t="s">
        <v>84</v>
      </c>
      <c r="AB6" s="2" t="s">
        <v>79</v>
      </c>
      <c r="AD6" s="2" t="s">
        <v>118</v>
      </c>
      <c r="AE6" s="2">
        <v>0</v>
      </c>
      <c r="AF6" s="2">
        <v>4</v>
      </c>
      <c r="AG6" s="2">
        <v>2</v>
      </c>
      <c r="AH6" s="2">
        <v>0</v>
      </c>
      <c r="AI6" s="2">
        <v>3</v>
      </c>
      <c r="AJ6" s="2">
        <v>4</v>
      </c>
      <c r="AK6" s="2">
        <v>3</v>
      </c>
      <c r="AL6" s="2">
        <v>2</v>
      </c>
      <c r="AM6" s="2">
        <v>1</v>
      </c>
      <c r="AN6" s="2">
        <v>1</v>
      </c>
      <c r="AO6" s="2">
        <v>3</v>
      </c>
      <c r="AP6" s="2">
        <v>3</v>
      </c>
      <c r="AQ6" s="2">
        <v>4</v>
      </c>
      <c r="AR6" s="2">
        <v>2</v>
      </c>
      <c r="AT6">
        <f>Form_Responses[[#This Row],[Sitting to Standing]]+SUM(Form_Responses[[#This Row],[Sitting to Standing]:[Standing on One Leg]])</f>
        <v>32</v>
      </c>
      <c r="AU6" s="2">
        <v>1</v>
      </c>
      <c r="AV6" s="2">
        <v>1</v>
      </c>
      <c r="AW6" s="2">
        <v>1</v>
      </c>
      <c r="AX6" s="2">
        <v>0</v>
      </c>
      <c r="AY6" s="2">
        <v>0</v>
      </c>
      <c r="AZ6" s="2">
        <v>1</v>
      </c>
      <c r="BA6" s="2">
        <v>0</v>
      </c>
      <c r="BB6" s="2">
        <v>1</v>
      </c>
      <c r="BC6" s="2">
        <v>0</v>
      </c>
      <c r="BD6" s="2">
        <v>1</v>
      </c>
      <c r="BE6" s="2">
        <v>0</v>
      </c>
      <c r="BF6" s="2">
        <v>0</v>
      </c>
      <c r="BG6" s="2">
        <v>1</v>
      </c>
      <c r="BH6" s="2">
        <v>0</v>
      </c>
      <c r="BJ6">
        <f>SUM(Form_Responses[[#This Row],[Sit to Stand (Anticipatory Postural Adjustments)]:[Tandem Walk (Dynamic Gait)]])</f>
        <v>7</v>
      </c>
      <c r="BK6" s="3">
        <v>8</v>
      </c>
      <c r="BL6" s="3">
        <v>8</v>
      </c>
      <c r="BM6" s="3">
        <v>4</v>
      </c>
      <c r="BN6" s="3">
        <v>9</v>
      </c>
      <c r="BO6" s="3">
        <v>9</v>
      </c>
      <c r="BP6" s="3">
        <v>9</v>
      </c>
      <c r="BQ6" s="3">
        <v>6</v>
      </c>
      <c r="BR6" s="3">
        <v>8</v>
      </c>
      <c r="BS6" s="3">
        <v>7</v>
      </c>
      <c r="BT6" s="3">
        <v>9</v>
      </c>
      <c r="BU6" s="2"/>
      <c r="BV6">
        <f>SUM(Form_Responses[[#This Row],[How confident are you in Taking a bath or shower without falling?]:[How confident are you in Getting on and off the toilet without falling?]])</f>
        <v>77</v>
      </c>
    </row>
    <row r="7" spans="1:74" x14ac:dyDescent="0.3">
      <c r="A7" s="2" t="s">
        <v>119</v>
      </c>
      <c r="B7" s="2">
        <v>76</v>
      </c>
      <c r="C7" s="2" t="s">
        <v>72</v>
      </c>
      <c r="D7" s="2" t="s">
        <v>73</v>
      </c>
      <c r="E7" s="2" t="s">
        <v>120</v>
      </c>
      <c r="F7" s="2" t="s">
        <v>121</v>
      </c>
      <c r="G7" s="2" t="s">
        <v>122</v>
      </c>
      <c r="H7" s="2">
        <v>2019</v>
      </c>
      <c r="I7" s="2">
        <v>6</v>
      </c>
      <c r="J7" s="2">
        <v>3</v>
      </c>
      <c r="K7" s="2" t="s">
        <v>123</v>
      </c>
      <c r="L7" s="2" t="s">
        <v>90</v>
      </c>
      <c r="M7" s="2" t="s">
        <v>81</v>
      </c>
      <c r="N7" s="2" t="s">
        <v>79</v>
      </c>
      <c r="O7" s="2" t="s">
        <v>79</v>
      </c>
      <c r="P7" s="2" t="s">
        <v>81</v>
      </c>
      <c r="Q7" s="2" t="s">
        <v>124</v>
      </c>
      <c r="R7" s="2" t="s">
        <v>79</v>
      </c>
      <c r="S7" s="2" t="s">
        <v>125</v>
      </c>
      <c r="T7" s="2" t="s">
        <v>81</v>
      </c>
      <c r="U7" s="2" t="s">
        <v>126</v>
      </c>
      <c r="V7" s="2">
        <v>22</v>
      </c>
      <c r="W7" s="2" t="s">
        <v>79</v>
      </c>
      <c r="X7" s="2" t="s">
        <v>127</v>
      </c>
      <c r="Y7" s="2" t="s">
        <v>101</v>
      </c>
      <c r="Z7" s="2" t="s">
        <v>92</v>
      </c>
      <c r="AA7" s="2" t="s">
        <v>102</v>
      </c>
      <c r="AB7" s="2" t="s">
        <v>79</v>
      </c>
      <c r="AD7" s="2" t="s">
        <v>118</v>
      </c>
      <c r="AE7" s="2">
        <v>1</v>
      </c>
      <c r="AF7" s="2">
        <v>1</v>
      </c>
      <c r="AG7" s="2">
        <v>1</v>
      </c>
      <c r="AH7" s="2">
        <v>3</v>
      </c>
      <c r="AI7" s="2">
        <v>2</v>
      </c>
      <c r="AJ7" s="2">
        <v>0</v>
      </c>
      <c r="AK7" s="2">
        <v>4</v>
      </c>
      <c r="AL7" s="2">
        <v>3</v>
      </c>
      <c r="AM7" s="2">
        <v>2</v>
      </c>
      <c r="AN7" s="2">
        <v>1</v>
      </c>
      <c r="AO7" s="2">
        <v>4</v>
      </c>
      <c r="AP7" s="2">
        <v>2</v>
      </c>
      <c r="AQ7" s="2">
        <v>2</v>
      </c>
      <c r="AR7" s="2">
        <v>1</v>
      </c>
      <c r="AT7">
        <f>Form_Responses[[#This Row],[Sitting to Standing]]+SUM(Form_Responses[[#This Row],[Sitting to Standing]:[Standing on One Leg]])</f>
        <v>28</v>
      </c>
      <c r="AU7" s="2">
        <v>1</v>
      </c>
      <c r="AV7" s="2">
        <v>1</v>
      </c>
      <c r="AW7" s="2">
        <v>1</v>
      </c>
      <c r="AX7" s="2">
        <v>0</v>
      </c>
      <c r="AY7" s="2">
        <v>0</v>
      </c>
      <c r="AZ7" s="2">
        <v>0</v>
      </c>
      <c r="BA7" s="2">
        <v>1</v>
      </c>
      <c r="BB7" s="2">
        <v>0</v>
      </c>
      <c r="BC7" s="2">
        <v>1</v>
      </c>
      <c r="BD7" s="2">
        <v>1</v>
      </c>
      <c r="BE7" s="2">
        <v>1</v>
      </c>
      <c r="BF7" s="2">
        <v>1</v>
      </c>
      <c r="BG7" s="2">
        <v>1</v>
      </c>
      <c r="BH7" s="2">
        <v>0</v>
      </c>
      <c r="BJ7">
        <f>SUM(Form_Responses[[#This Row],[Sit to Stand (Anticipatory Postural Adjustments)]:[Tandem Walk (Dynamic Gait)]])</f>
        <v>9</v>
      </c>
      <c r="BK7" s="3">
        <v>4</v>
      </c>
      <c r="BL7" s="3">
        <v>8</v>
      </c>
      <c r="BM7" s="3">
        <v>6</v>
      </c>
      <c r="BN7" s="3">
        <v>5</v>
      </c>
      <c r="BO7" s="3">
        <v>6</v>
      </c>
      <c r="BP7" s="3">
        <v>6</v>
      </c>
      <c r="BQ7" s="3">
        <v>7</v>
      </c>
      <c r="BR7" s="3">
        <v>5</v>
      </c>
      <c r="BS7" s="3">
        <v>7</v>
      </c>
      <c r="BT7" s="3">
        <v>3</v>
      </c>
      <c r="BV7">
        <f>SUM(Form_Responses[[#This Row],[How confident are you in Taking a bath or shower without falling?]:[How confident are you in Getting on and off the toilet without falling?]])</f>
        <v>57</v>
      </c>
    </row>
    <row r="8" spans="1:74" x14ac:dyDescent="0.3">
      <c r="A8" s="2" t="s">
        <v>128</v>
      </c>
      <c r="B8" s="2">
        <v>71</v>
      </c>
      <c r="C8" s="2" t="s">
        <v>72</v>
      </c>
      <c r="D8" s="2" t="s">
        <v>73</v>
      </c>
      <c r="E8" s="2" t="s">
        <v>129</v>
      </c>
      <c r="F8" s="2" t="s">
        <v>114</v>
      </c>
      <c r="G8" s="2" t="s">
        <v>122</v>
      </c>
      <c r="H8" s="2">
        <v>2016</v>
      </c>
      <c r="I8" s="2">
        <v>10</v>
      </c>
      <c r="J8" s="2">
        <v>4</v>
      </c>
      <c r="K8" s="2" t="s">
        <v>130</v>
      </c>
      <c r="L8" s="2" t="s">
        <v>90</v>
      </c>
      <c r="M8" s="2" t="s">
        <v>79</v>
      </c>
      <c r="N8" s="2" t="s">
        <v>79</v>
      </c>
      <c r="O8" s="2" t="s">
        <v>79</v>
      </c>
      <c r="P8" s="2" t="s">
        <v>79</v>
      </c>
      <c r="Q8" s="2" t="s">
        <v>131</v>
      </c>
      <c r="R8" s="2" t="s">
        <v>79</v>
      </c>
      <c r="S8" s="2" t="s">
        <v>132</v>
      </c>
      <c r="T8" s="2" t="s">
        <v>79</v>
      </c>
      <c r="U8" s="2" t="s">
        <v>133</v>
      </c>
      <c r="V8" s="2">
        <v>16</v>
      </c>
      <c r="W8" s="2" t="s">
        <v>81</v>
      </c>
      <c r="X8" s="2" t="s">
        <v>134</v>
      </c>
      <c r="Y8" s="2" t="s">
        <v>83</v>
      </c>
      <c r="Z8" s="2" t="s">
        <v>83</v>
      </c>
      <c r="AA8" s="2" t="s">
        <v>135</v>
      </c>
      <c r="AB8" s="2" t="s">
        <v>79</v>
      </c>
      <c r="AD8" s="2" t="s">
        <v>118</v>
      </c>
      <c r="AE8" s="2">
        <v>4</v>
      </c>
      <c r="AF8" s="2">
        <v>1</v>
      </c>
      <c r="AG8" s="2">
        <v>3</v>
      </c>
      <c r="AH8" s="2">
        <v>4</v>
      </c>
      <c r="AI8" s="2">
        <v>4</v>
      </c>
      <c r="AJ8" s="2">
        <v>4</v>
      </c>
      <c r="AK8" s="2">
        <v>4</v>
      </c>
      <c r="AL8" s="2">
        <v>4</v>
      </c>
      <c r="AM8" s="2">
        <v>4</v>
      </c>
      <c r="AN8" s="2">
        <v>3</v>
      </c>
      <c r="AO8" s="2">
        <v>2</v>
      </c>
      <c r="AP8" s="2">
        <v>1</v>
      </c>
      <c r="AQ8" s="2">
        <v>4</v>
      </c>
      <c r="AR8" s="2">
        <v>3</v>
      </c>
      <c r="AT8">
        <f>Form_Responses[[#This Row],[Sitting to Standing]]+SUM(Form_Responses[[#This Row],[Sitting to Standing]:[Standing on One Leg]])</f>
        <v>49</v>
      </c>
      <c r="AU8" s="2">
        <v>2</v>
      </c>
      <c r="AV8" s="2">
        <v>1</v>
      </c>
      <c r="AW8" s="2">
        <v>1</v>
      </c>
      <c r="AX8" s="2">
        <v>1</v>
      </c>
      <c r="AY8" s="2">
        <v>0</v>
      </c>
      <c r="AZ8" s="2">
        <v>1</v>
      </c>
      <c r="BA8" s="2">
        <v>2</v>
      </c>
      <c r="BB8" s="2">
        <v>1</v>
      </c>
      <c r="BC8" s="2">
        <v>1</v>
      </c>
      <c r="BD8" s="2">
        <v>2</v>
      </c>
      <c r="BE8" s="2">
        <v>1</v>
      </c>
      <c r="BF8" s="2">
        <v>0</v>
      </c>
      <c r="BG8" s="2">
        <v>2</v>
      </c>
      <c r="BH8" s="2">
        <v>1</v>
      </c>
      <c r="BJ8">
        <f>SUM(Form_Responses[[#This Row],[Sit to Stand (Anticipatory Postural Adjustments)]:[Tandem Walk (Dynamic Gait)]])</f>
        <v>16</v>
      </c>
      <c r="BK8" s="3">
        <v>6</v>
      </c>
      <c r="BL8" s="3">
        <v>10</v>
      </c>
      <c r="BM8" s="3">
        <v>6</v>
      </c>
      <c r="BN8" s="3">
        <v>7</v>
      </c>
      <c r="BO8" s="3">
        <v>6</v>
      </c>
      <c r="BP8" s="3">
        <v>8</v>
      </c>
      <c r="BQ8" s="3">
        <v>6</v>
      </c>
      <c r="BR8" s="3">
        <v>1</v>
      </c>
      <c r="BS8" s="3">
        <v>7</v>
      </c>
      <c r="BT8" s="3">
        <v>6</v>
      </c>
      <c r="BV8">
        <f>SUM(Form_Responses[[#This Row],[How confident are you in Taking a bath or shower without falling?]:[How confident are you in Getting on and off the toilet without falling?]])</f>
        <v>63</v>
      </c>
    </row>
    <row r="9" spans="1:74" x14ac:dyDescent="0.3">
      <c r="A9" s="2" t="s">
        <v>136</v>
      </c>
      <c r="B9" s="2">
        <v>68</v>
      </c>
      <c r="C9" s="2" t="s">
        <v>72</v>
      </c>
      <c r="D9" s="2" t="s">
        <v>73</v>
      </c>
      <c r="E9" s="2" t="s">
        <v>86</v>
      </c>
      <c r="F9" s="2" t="s">
        <v>137</v>
      </c>
      <c r="G9" s="2" t="s">
        <v>76</v>
      </c>
      <c r="H9" s="2" t="s">
        <v>138</v>
      </c>
      <c r="I9" s="2">
        <v>10</v>
      </c>
      <c r="J9" s="2">
        <v>2</v>
      </c>
      <c r="K9" s="2" t="s">
        <v>98</v>
      </c>
      <c r="L9" s="2" t="s">
        <v>139</v>
      </c>
      <c r="M9" s="2" t="s">
        <v>81</v>
      </c>
      <c r="N9" s="2" t="s">
        <v>81</v>
      </c>
      <c r="O9" s="2" t="s">
        <v>81</v>
      </c>
      <c r="P9" s="2" t="s">
        <v>81</v>
      </c>
      <c r="Q9" s="2" t="s">
        <v>140</v>
      </c>
      <c r="R9" s="2" t="s">
        <v>81</v>
      </c>
      <c r="S9" s="2" t="s">
        <v>79</v>
      </c>
      <c r="T9" s="2" t="s">
        <v>79</v>
      </c>
      <c r="U9" s="2" t="s">
        <v>82</v>
      </c>
      <c r="V9" s="2">
        <v>27</v>
      </c>
      <c r="W9" s="2" t="s">
        <v>79</v>
      </c>
      <c r="X9" s="2" t="s">
        <v>82</v>
      </c>
      <c r="Y9" s="2" t="s">
        <v>83</v>
      </c>
      <c r="Z9" s="2" t="s">
        <v>83</v>
      </c>
      <c r="AA9" s="2" t="s">
        <v>84</v>
      </c>
      <c r="AB9" s="2" t="s">
        <v>79</v>
      </c>
      <c r="AD9" s="2" t="s">
        <v>82</v>
      </c>
      <c r="AE9" s="2">
        <v>4</v>
      </c>
      <c r="AF9" s="2">
        <v>4</v>
      </c>
      <c r="AG9" s="2">
        <v>4</v>
      </c>
      <c r="AH9" s="2">
        <v>4</v>
      </c>
      <c r="AI9" s="2">
        <v>4</v>
      </c>
      <c r="AJ9" s="2">
        <v>4</v>
      </c>
      <c r="AK9" s="2">
        <v>4</v>
      </c>
      <c r="AL9" s="2">
        <v>4</v>
      </c>
      <c r="AM9" s="2">
        <v>4</v>
      </c>
      <c r="AN9" s="2">
        <v>3</v>
      </c>
      <c r="AO9" s="2">
        <v>3</v>
      </c>
      <c r="AP9" s="2">
        <v>3</v>
      </c>
      <c r="AQ9" s="2">
        <v>3</v>
      </c>
      <c r="AR9" s="2">
        <v>3</v>
      </c>
      <c r="AT9">
        <f>Form_Responses[[#This Row],[Sitting to Standing]]+SUM(Form_Responses[[#This Row],[Sitting to Standing]:[Standing on One Leg]])</f>
        <v>55</v>
      </c>
      <c r="AU9" s="2">
        <v>2</v>
      </c>
      <c r="AV9" s="2">
        <v>1</v>
      </c>
      <c r="AW9" s="2">
        <v>1</v>
      </c>
      <c r="AX9" s="2">
        <v>1</v>
      </c>
      <c r="AY9" s="2">
        <v>1</v>
      </c>
      <c r="AZ9" s="2">
        <v>2</v>
      </c>
      <c r="BA9" s="2">
        <v>2</v>
      </c>
      <c r="BB9" s="2">
        <v>1</v>
      </c>
      <c r="BC9" s="2">
        <v>1</v>
      </c>
      <c r="BD9" s="2">
        <v>1</v>
      </c>
      <c r="BE9" s="2">
        <v>2</v>
      </c>
      <c r="BF9" s="2">
        <v>1</v>
      </c>
      <c r="BG9" s="2">
        <v>2</v>
      </c>
      <c r="BH9" s="2">
        <v>1</v>
      </c>
      <c r="BJ9">
        <f>SUM(Form_Responses[[#This Row],[Sit to Stand (Anticipatory Postural Adjustments)]:[Tandem Walk (Dynamic Gait)]])</f>
        <v>19</v>
      </c>
      <c r="BK9" s="3">
        <v>4</v>
      </c>
      <c r="BL9" s="3">
        <v>2</v>
      </c>
      <c r="BM9" s="3">
        <v>3</v>
      </c>
      <c r="BN9" s="3">
        <v>5</v>
      </c>
      <c r="BO9" s="3">
        <v>3</v>
      </c>
      <c r="BP9" s="3">
        <v>1</v>
      </c>
      <c r="BQ9" s="3">
        <v>1</v>
      </c>
      <c r="BR9" s="3">
        <v>4</v>
      </c>
      <c r="BS9" s="3">
        <v>1</v>
      </c>
      <c r="BT9" s="3">
        <v>5</v>
      </c>
      <c r="BV9">
        <f>SUM(Form_Responses[[#This Row],[How confident are you in Taking a bath or shower without falling?]:[How confident are you in Getting on and off the toilet without falling?]])</f>
        <v>29</v>
      </c>
    </row>
    <row r="10" spans="1:74" x14ac:dyDescent="0.3">
      <c r="A10" s="2" t="s">
        <v>141</v>
      </c>
      <c r="B10" s="2">
        <v>62</v>
      </c>
      <c r="C10" s="2" t="s">
        <v>72</v>
      </c>
      <c r="D10" s="2" t="s">
        <v>73</v>
      </c>
      <c r="E10" s="2" t="s">
        <v>94</v>
      </c>
      <c r="F10" s="2" t="s">
        <v>142</v>
      </c>
      <c r="G10" s="2" t="s">
        <v>96</v>
      </c>
      <c r="H10" s="2" t="s">
        <v>143</v>
      </c>
      <c r="I10" s="2">
        <v>15</v>
      </c>
      <c r="J10" s="2">
        <v>3</v>
      </c>
      <c r="K10" s="2" t="s">
        <v>144</v>
      </c>
      <c r="L10" s="2" t="s">
        <v>139</v>
      </c>
      <c r="M10" s="2" t="s">
        <v>81</v>
      </c>
      <c r="N10" s="2" t="s">
        <v>81</v>
      </c>
      <c r="O10" s="2" t="s">
        <v>81</v>
      </c>
      <c r="P10" s="2" t="s">
        <v>79</v>
      </c>
      <c r="Q10" s="2" t="s">
        <v>145</v>
      </c>
      <c r="R10" s="2" t="s">
        <v>81</v>
      </c>
      <c r="S10" s="2">
        <v>6</v>
      </c>
      <c r="T10" s="2" t="s">
        <v>81</v>
      </c>
      <c r="U10" s="2" t="s">
        <v>126</v>
      </c>
      <c r="V10" s="2">
        <v>23</v>
      </c>
      <c r="W10" s="2" t="s">
        <v>81</v>
      </c>
      <c r="X10" s="2" t="s">
        <v>82</v>
      </c>
      <c r="Y10" s="2" t="s">
        <v>83</v>
      </c>
      <c r="Z10" s="2" t="s">
        <v>83</v>
      </c>
      <c r="AA10" s="2" t="s">
        <v>102</v>
      </c>
      <c r="AB10" s="2" t="s">
        <v>79</v>
      </c>
      <c r="AD10" s="2" t="s">
        <v>118</v>
      </c>
      <c r="AE10" s="2">
        <v>1</v>
      </c>
      <c r="AF10" s="2">
        <v>3</v>
      </c>
      <c r="AG10" s="2">
        <v>3</v>
      </c>
      <c r="AH10" s="2">
        <v>3</v>
      </c>
      <c r="AI10" s="2">
        <v>1</v>
      </c>
      <c r="AJ10" s="2">
        <v>2</v>
      </c>
      <c r="AK10" s="2">
        <v>0</v>
      </c>
      <c r="AL10" s="2">
        <v>2</v>
      </c>
      <c r="AM10" s="2">
        <v>0</v>
      </c>
      <c r="AN10" s="2">
        <v>0</v>
      </c>
      <c r="AO10" s="2">
        <v>0</v>
      </c>
      <c r="AP10" s="2">
        <v>1</v>
      </c>
      <c r="AQ10" s="2">
        <v>1</v>
      </c>
      <c r="AR10" s="2">
        <v>2</v>
      </c>
      <c r="AT10">
        <f>Form_Responses[[#This Row],[Sitting to Standing]]+SUM(Form_Responses[[#This Row],[Sitting to Standing]:[Standing on One Leg]])</f>
        <v>20</v>
      </c>
      <c r="AU10" s="2">
        <v>1</v>
      </c>
      <c r="AV10" s="2">
        <v>1</v>
      </c>
      <c r="AW10" s="2">
        <v>1</v>
      </c>
      <c r="AX10" s="2">
        <v>1</v>
      </c>
      <c r="AY10" s="2">
        <v>1</v>
      </c>
      <c r="AZ10" s="2">
        <v>1</v>
      </c>
      <c r="BA10" s="2">
        <v>0</v>
      </c>
      <c r="BB10" s="2">
        <v>0</v>
      </c>
      <c r="BC10" s="2">
        <v>1</v>
      </c>
      <c r="BD10" s="2">
        <v>0</v>
      </c>
      <c r="BE10" s="2">
        <v>0</v>
      </c>
      <c r="BF10" s="2">
        <v>1</v>
      </c>
      <c r="BG10" s="2">
        <v>1</v>
      </c>
      <c r="BH10" s="2">
        <v>0</v>
      </c>
      <c r="BJ10">
        <f>SUM(Form_Responses[[#This Row],[Sit to Stand (Anticipatory Postural Adjustments)]:[Tandem Walk (Dynamic Gait)]])</f>
        <v>9</v>
      </c>
      <c r="BK10" s="3">
        <v>8</v>
      </c>
      <c r="BL10" s="3">
        <v>4</v>
      </c>
      <c r="BM10" s="3">
        <v>6</v>
      </c>
      <c r="BN10" s="3">
        <v>8</v>
      </c>
      <c r="BO10" s="3">
        <v>7</v>
      </c>
      <c r="BP10" s="3">
        <v>8</v>
      </c>
      <c r="BQ10" s="3">
        <v>3</v>
      </c>
      <c r="BR10" s="3">
        <v>7</v>
      </c>
      <c r="BS10" s="3">
        <v>5</v>
      </c>
      <c r="BT10" s="3">
        <v>8</v>
      </c>
      <c r="BV10">
        <f>SUM(Form_Responses[[#This Row],[How confident are you in Taking a bath or shower without falling?]:[How confident are you in Getting on and off the toilet without falling?]])</f>
        <v>64</v>
      </c>
    </row>
    <row r="11" spans="1:74" x14ac:dyDescent="0.3">
      <c r="A11" s="2" t="s">
        <v>146</v>
      </c>
      <c r="B11" s="2">
        <v>63</v>
      </c>
      <c r="C11" s="2" t="s">
        <v>104</v>
      </c>
      <c r="D11" s="2" t="s">
        <v>73</v>
      </c>
      <c r="E11" s="2" t="s">
        <v>94</v>
      </c>
      <c r="F11" s="2" t="s">
        <v>147</v>
      </c>
      <c r="G11" s="2" t="s">
        <v>96</v>
      </c>
      <c r="H11" s="2" t="s">
        <v>148</v>
      </c>
      <c r="I11" s="2">
        <v>2</v>
      </c>
      <c r="J11" s="2">
        <v>2</v>
      </c>
      <c r="K11" s="2" t="s">
        <v>150</v>
      </c>
      <c r="L11" s="2" t="s">
        <v>139</v>
      </c>
      <c r="M11" s="2" t="s">
        <v>81</v>
      </c>
      <c r="N11" s="2" t="s">
        <v>81</v>
      </c>
      <c r="O11" s="2" t="s">
        <v>81</v>
      </c>
      <c r="P11" s="2" t="s">
        <v>79</v>
      </c>
      <c r="Q11" s="2" t="s">
        <v>151</v>
      </c>
      <c r="R11" s="2" t="s">
        <v>81</v>
      </c>
      <c r="S11" s="2">
        <v>1</v>
      </c>
      <c r="T11" s="2" t="s">
        <v>81</v>
      </c>
      <c r="U11" s="2" t="s">
        <v>152</v>
      </c>
      <c r="V11" s="2">
        <v>25</v>
      </c>
      <c r="W11" s="2" t="s">
        <v>79</v>
      </c>
      <c r="X11" s="2" t="s">
        <v>82</v>
      </c>
      <c r="Y11" s="2" t="s">
        <v>83</v>
      </c>
      <c r="Z11" s="2" t="s">
        <v>83</v>
      </c>
      <c r="AB11" s="2" t="s">
        <v>79</v>
      </c>
      <c r="AC11" s="2" t="s">
        <v>124</v>
      </c>
      <c r="AD11" s="2" t="s">
        <v>82</v>
      </c>
      <c r="AE11" s="2">
        <v>3</v>
      </c>
      <c r="AF11" s="2">
        <v>3</v>
      </c>
      <c r="AG11" s="2">
        <v>3</v>
      </c>
      <c r="AH11" s="2">
        <v>2</v>
      </c>
      <c r="AI11" s="2">
        <v>3</v>
      </c>
      <c r="AJ11" s="2">
        <v>2</v>
      </c>
      <c r="AK11" s="2">
        <v>2</v>
      </c>
      <c r="AL11" s="2">
        <v>2</v>
      </c>
      <c r="AM11" s="2">
        <v>1</v>
      </c>
      <c r="AN11" s="2">
        <v>1</v>
      </c>
      <c r="AO11" s="2">
        <v>1</v>
      </c>
      <c r="AP11" s="2">
        <v>1</v>
      </c>
      <c r="AQ11" s="2">
        <v>3</v>
      </c>
      <c r="AR11" s="2">
        <v>2</v>
      </c>
      <c r="AT11">
        <f>Form_Responses[[#This Row],[Sitting to Standing]]+SUM(Form_Responses[[#This Row],[Sitting to Standing]:[Standing on One Leg]])</f>
        <v>32</v>
      </c>
      <c r="AU11" s="2">
        <v>1</v>
      </c>
      <c r="AV11" s="2">
        <v>1</v>
      </c>
      <c r="AW11" s="2">
        <v>1</v>
      </c>
      <c r="AX11" s="2">
        <v>1</v>
      </c>
      <c r="AY11" s="2">
        <v>1</v>
      </c>
      <c r="AZ11" s="2">
        <v>1</v>
      </c>
      <c r="BA11" s="2">
        <v>1</v>
      </c>
      <c r="BB11" s="2">
        <v>1</v>
      </c>
      <c r="BC11" s="2">
        <v>1</v>
      </c>
      <c r="BD11" s="2">
        <v>0</v>
      </c>
      <c r="BE11" s="2">
        <v>0</v>
      </c>
      <c r="BF11" s="2">
        <v>0</v>
      </c>
      <c r="BG11" s="2">
        <v>2</v>
      </c>
      <c r="BH11" s="2">
        <v>0</v>
      </c>
      <c r="BJ11">
        <f>SUM(Form_Responses[[#This Row],[Sit to Stand (Anticipatory Postural Adjustments)]:[Tandem Walk (Dynamic Gait)]])</f>
        <v>11</v>
      </c>
      <c r="BK11" s="3">
        <v>7</v>
      </c>
      <c r="BL11" s="3">
        <v>4</v>
      </c>
      <c r="BM11" s="3">
        <v>5</v>
      </c>
      <c r="BN11" s="3">
        <v>6</v>
      </c>
      <c r="BO11" s="3">
        <v>6</v>
      </c>
      <c r="BP11" s="3">
        <v>3</v>
      </c>
      <c r="BQ11" s="3">
        <v>5</v>
      </c>
      <c r="BR11" s="3">
        <v>6</v>
      </c>
      <c r="BS11" s="3">
        <v>6</v>
      </c>
      <c r="BT11" s="3">
        <v>5</v>
      </c>
      <c r="BV11">
        <f>SUM(Form_Responses[[#This Row],[How confident are you in Taking a bath or shower without falling?]:[How confident are you in Getting on and off the toilet without falling?]])</f>
        <v>53</v>
      </c>
    </row>
    <row r="12" spans="1:74" x14ac:dyDescent="0.3">
      <c r="A12" s="2" t="s">
        <v>153</v>
      </c>
      <c r="B12" s="2">
        <v>80</v>
      </c>
      <c r="C12" s="2" t="s">
        <v>72</v>
      </c>
      <c r="D12" s="2" t="s">
        <v>73</v>
      </c>
      <c r="E12" s="2" t="s">
        <v>129</v>
      </c>
      <c r="F12" s="2" t="s">
        <v>154</v>
      </c>
      <c r="G12" s="2" t="s">
        <v>96</v>
      </c>
      <c r="H12" s="2" t="s">
        <v>149</v>
      </c>
      <c r="I12" s="2">
        <v>2</v>
      </c>
      <c r="J12" s="2">
        <v>4</v>
      </c>
      <c r="K12" s="2" t="s">
        <v>155</v>
      </c>
      <c r="L12" s="2" t="s">
        <v>90</v>
      </c>
      <c r="M12" s="2" t="s">
        <v>81</v>
      </c>
      <c r="N12" s="2" t="s">
        <v>81</v>
      </c>
      <c r="O12" s="2" t="s">
        <v>81</v>
      </c>
      <c r="P12" s="2" t="s">
        <v>81</v>
      </c>
      <c r="R12" s="2" t="s">
        <v>81</v>
      </c>
      <c r="S12" s="2" t="s">
        <v>156</v>
      </c>
      <c r="T12" s="2" t="s">
        <v>157</v>
      </c>
      <c r="U12" s="2" t="s">
        <v>152</v>
      </c>
      <c r="V12" s="2">
        <v>30</v>
      </c>
      <c r="W12" s="2" t="s">
        <v>158</v>
      </c>
      <c r="X12" s="2" t="s">
        <v>159</v>
      </c>
      <c r="Y12" s="2" t="s">
        <v>83</v>
      </c>
      <c r="Z12" s="2" t="s">
        <v>83</v>
      </c>
      <c r="AA12" s="2" t="s">
        <v>102</v>
      </c>
      <c r="AB12" s="2" t="s">
        <v>79</v>
      </c>
      <c r="AD12" s="2" t="s">
        <v>118</v>
      </c>
      <c r="AE12" s="2">
        <v>1</v>
      </c>
      <c r="AF12" s="2">
        <v>2</v>
      </c>
      <c r="AG12" s="2">
        <v>4</v>
      </c>
      <c r="AH12" s="2">
        <v>2</v>
      </c>
      <c r="AI12" s="2">
        <v>2</v>
      </c>
      <c r="AJ12" s="2">
        <v>1</v>
      </c>
      <c r="AK12" s="2">
        <v>1</v>
      </c>
      <c r="AL12" s="2">
        <v>1</v>
      </c>
      <c r="AM12" s="2">
        <v>0</v>
      </c>
      <c r="AN12" s="2">
        <v>2</v>
      </c>
      <c r="AO12" s="2">
        <v>1</v>
      </c>
      <c r="AP12" s="2">
        <v>1</v>
      </c>
      <c r="AQ12" s="2">
        <v>1</v>
      </c>
      <c r="AR12" s="2">
        <v>1</v>
      </c>
      <c r="AT12">
        <f>Form_Responses[[#This Row],[Sitting to Standing]]+SUM(Form_Responses[[#This Row],[Sitting to Standing]:[Standing on One Leg]])</f>
        <v>21</v>
      </c>
      <c r="AU12" s="2">
        <v>1</v>
      </c>
      <c r="AV12" s="2">
        <v>1</v>
      </c>
      <c r="AW12" s="2">
        <v>0</v>
      </c>
      <c r="AX12" s="2">
        <v>1</v>
      </c>
      <c r="AY12" s="2">
        <v>1</v>
      </c>
      <c r="AZ12" s="2">
        <v>0</v>
      </c>
      <c r="BA12" s="2">
        <v>1</v>
      </c>
      <c r="BB12" s="2">
        <v>1</v>
      </c>
      <c r="BC12" s="2">
        <v>1</v>
      </c>
      <c r="BD12" s="2">
        <v>0</v>
      </c>
      <c r="BE12" s="2">
        <v>1</v>
      </c>
      <c r="BF12" s="2">
        <v>1</v>
      </c>
      <c r="BG12" s="2">
        <v>1</v>
      </c>
      <c r="BH12" s="2">
        <v>1</v>
      </c>
      <c r="BJ12">
        <f>SUM(Form_Responses[[#This Row],[Sit to Stand (Anticipatory Postural Adjustments)]:[Tandem Walk (Dynamic Gait)]])</f>
        <v>11</v>
      </c>
      <c r="BK12" s="3">
        <v>6</v>
      </c>
      <c r="BL12" s="3">
        <v>6</v>
      </c>
      <c r="BM12" s="3">
        <v>5</v>
      </c>
      <c r="BN12" s="3">
        <v>10</v>
      </c>
      <c r="BO12" s="3">
        <v>5</v>
      </c>
      <c r="BP12" s="3">
        <v>6</v>
      </c>
      <c r="BQ12" s="3">
        <v>5</v>
      </c>
      <c r="BR12" s="3">
        <v>6</v>
      </c>
      <c r="BS12" s="3">
        <v>6</v>
      </c>
      <c r="BT12" s="3">
        <v>4</v>
      </c>
      <c r="BV12">
        <f>SUM(Form_Responses[[#This Row],[How confident are you in Taking a bath or shower without falling?]:[How confident are you in Getting on and off the toilet without falling?]])</f>
        <v>59</v>
      </c>
    </row>
    <row r="13" spans="1:74" x14ac:dyDescent="0.3">
      <c r="A13" s="2" t="s">
        <v>160</v>
      </c>
      <c r="B13" s="2">
        <v>67</v>
      </c>
      <c r="C13" s="2" t="s">
        <v>72</v>
      </c>
      <c r="D13" s="2" t="s">
        <v>73</v>
      </c>
      <c r="E13" s="2" t="s">
        <v>74</v>
      </c>
      <c r="F13" s="2" t="s">
        <v>106</v>
      </c>
      <c r="G13" s="2" t="s">
        <v>122</v>
      </c>
      <c r="H13" s="2">
        <v>4</v>
      </c>
      <c r="I13" s="2">
        <v>4</v>
      </c>
      <c r="J13" s="2">
        <v>2</v>
      </c>
      <c r="K13" s="2" t="s">
        <v>161</v>
      </c>
      <c r="L13" s="2" t="s">
        <v>139</v>
      </c>
      <c r="M13" s="2" t="s">
        <v>81</v>
      </c>
      <c r="N13" s="2" t="s">
        <v>81</v>
      </c>
      <c r="O13" s="2" t="s">
        <v>81</v>
      </c>
      <c r="P13" s="2" t="s">
        <v>81</v>
      </c>
      <c r="R13" s="2" t="s">
        <v>81</v>
      </c>
      <c r="S13" s="2">
        <v>1</v>
      </c>
      <c r="T13" s="2" t="s">
        <v>81</v>
      </c>
      <c r="U13" s="2" t="s">
        <v>133</v>
      </c>
      <c r="V13" s="2">
        <v>27</v>
      </c>
      <c r="W13" s="2" t="s">
        <v>79</v>
      </c>
      <c r="X13" s="2" t="s">
        <v>82</v>
      </c>
      <c r="Y13" s="2" t="s">
        <v>83</v>
      </c>
      <c r="Z13" s="2" t="s">
        <v>83</v>
      </c>
      <c r="AA13" s="2" t="s">
        <v>84</v>
      </c>
      <c r="AB13" s="2" t="s">
        <v>79</v>
      </c>
      <c r="AD13" s="2" t="s">
        <v>162</v>
      </c>
      <c r="AE13" s="2">
        <v>3</v>
      </c>
      <c r="AF13" s="2">
        <v>4</v>
      </c>
      <c r="AG13" s="2">
        <v>4</v>
      </c>
      <c r="AH13" s="2">
        <v>3</v>
      </c>
      <c r="AI13" s="2">
        <v>3</v>
      </c>
      <c r="AJ13" s="2">
        <v>2</v>
      </c>
      <c r="AK13" s="2">
        <v>3</v>
      </c>
      <c r="AL13" s="2">
        <v>2</v>
      </c>
      <c r="AM13" s="2">
        <v>1</v>
      </c>
      <c r="AN13" s="2">
        <v>2</v>
      </c>
      <c r="AO13" s="2">
        <v>3</v>
      </c>
      <c r="AP13" s="2">
        <v>2</v>
      </c>
      <c r="AQ13" s="2">
        <v>2</v>
      </c>
      <c r="AR13" s="2">
        <v>1</v>
      </c>
      <c r="AT13">
        <f>Form_Responses[[#This Row],[Sitting to Standing]]+SUM(Form_Responses[[#This Row],[Sitting to Standing]:[Standing on One Leg]])</f>
        <v>38</v>
      </c>
      <c r="AU13" s="2">
        <v>1</v>
      </c>
      <c r="AV13" s="2">
        <v>1</v>
      </c>
      <c r="AW13" s="2">
        <v>1</v>
      </c>
      <c r="AX13" s="2">
        <v>1</v>
      </c>
      <c r="AY13" s="2">
        <v>1</v>
      </c>
      <c r="AZ13" s="2">
        <v>1</v>
      </c>
      <c r="BA13" s="2">
        <v>2</v>
      </c>
      <c r="BB13" s="2">
        <v>1</v>
      </c>
      <c r="BC13" s="2">
        <v>1</v>
      </c>
      <c r="BD13" s="2">
        <v>1</v>
      </c>
      <c r="BE13" s="2">
        <v>1</v>
      </c>
      <c r="BF13" s="2">
        <v>1</v>
      </c>
      <c r="BG13" s="2">
        <v>0</v>
      </c>
      <c r="BH13" s="2">
        <v>1</v>
      </c>
      <c r="BJ13">
        <f>SUM(Form_Responses[[#This Row],[Sit to Stand (Anticipatory Postural Adjustments)]:[Tandem Walk (Dynamic Gait)]])</f>
        <v>14</v>
      </c>
      <c r="BK13" s="3">
        <v>5</v>
      </c>
      <c r="BL13" s="3">
        <v>4</v>
      </c>
      <c r="BM13" s="3">
        <v>5</v>
      </c>
      <c r="BN13" s="3">
        <v>4</v>
      </c>
      <c r="BO13" s="3">
        <v>5</v>
      </c>
      <c r="BP13" s="3">
        <v>3</v>
      </c>
      <c r="BQ13" s="3">
        <v>4</v>
      </c>
      <c r="BR13" s="3">
        <v>5</v>
      </c>
      <c r="BS13" s="3">
        <v>4</v>
      </c>
      <c r="BT13" s="3">
        <v>5</v>
      </c>
      <c r="BV13">
        <f>SUM(Form_Responses[[#This Row],[How confident are you in Taking a bath or shower without falling?]:[How confident are you in Getting on and off the toilet without falling?]])</f>
        <v>44</v>
      </c>
    </row>
    <row r="14" spans="1:74" ht="15" thickBot="1" x14ac:dyDescent="0.35">
      <c r="A14" s="2" t="s">
        <v>163</v>
      </c>
      <c r="B14" s="2">
        <v>80</v>
      </c>
      <c r="C14" s="2" t="s">
        <v>72</v>
      </c>
      <c r="D14" s="2" t="s">
        <v>73</v>
      </c>
      <c r="E14" s="2" t="s">
        <v>74</v>
      </c>
      <c r="F14" s="2" t="s">
        <v>164</v>
      </c>
      <c r="G14" s="2" t="s">
        <v>122</v>
      </c>
      <c r="H14" s="2">
        <v>2013</v>
      </c>
      <c r="I14" s="2">
        <v>12</v>
      </c>
      <c r="J14" s="2">
        <v>3</v>
      </c>
      <c r="K14" s="2" t="s">
        <v>98</v>
      </c>
      <c r="L14" s="2" t="s">
        <v>90</v>
      </c>
      <c r="R14" s="2" t="s">
        <v>81</v>
      </c>
      <c r="S14" s="2" t="s">
        <v>165</v>
      </c>
      <c r="T14" s="2" t="s">
        <v>81</v>
      </c>
      <c r="U14" s="2" t="s">
        <v>166</v>
      </c>
      <c r="V14" s="2">
        <v>30</v>
      </c>
      <c r="W14" s="2" t="s">
        <v>158</v>
      </c>
      <c r="X14" s="2" t="s">
        <v>167</v>
      </c>
      <c r="Y14" s="2" t="s">
        <v>83</v>
      </c>
      <c r="Z14" s="2" t="s">
        <v>83</v>
      </c>
      <c r="AA14" s="2" t="s">
        <v>168</v>
      </c>
      <c r="AB14" s="2" t="s">
        <v>79</v>
      </c>
      <c r="AD14" s="2" t="s">
        <v>118</v>
      </c>
      <c r="AE14" s="2">
        <v>3</v>
      </c>
      <c r="AF14" s="2">
        <v>3</v>
      </c>
      <c r="AG14" s="2">
        <v>4</v>
      </c>
      <c r="AH14" s="2">
        <v>3</v>
      </c>
      <c r="AI14" s="2">
        <v>3</v>
      </c>
      <c r="AJ14" s="2">
        <v>3</v>
      </c>
      <c r="AK14" s="2">
        <v>1</v>
      </c>
      <c r="AL14" s="2">
        <v>2</v>
      </c>
      <c r="AM14" s="2">
        <v>2</v>
      </c>
      <c r="AN14" s="2">
        <v>3</v>
      </c>
      <c r="AO14" s="2">
        <v>3</v>
      </c>
      <c r="AP14" s="2">
        <v>2</v>
      </c>
      <c r="AQ14" s="2">
        <v>1</v>
      </c>
      <c r="AR14" s="2">
        <v>1</v>
      </c>
      <c r="AT14">
        <f>Form_Responses[[#This Row],[Sitting to Standing]]+SUM(Form_Responses[[#This Row],[Sitting to Standing]:[Standing on One Leg]])</f>
        <v>37</v>
      </c>
      <c r="AU14" s="2">
        <v>1</v>
      </c>
      <c r="AV14" s="2">
        <v>2</v>
      </c>
      <c r="AW14" s="2">
        <v>0</v>
      </c>
      <c r="AX14" s="2">
        <v>2</v>
      </c>
      <c r="AY14" s="2">
        <v>0</v>
      </c>
      <c r="AZ14" s="2">
        <v>2</v>
      </c>
      <c r="BA14" s="2">
        <v>0</v>
      </c>
      <c r="BB14" s="2">
        <v>0</v>
      </c>
      <c r="BC14" s="2">
        <v>0</v>
      </c>
      <c r="BD14" s="2">
        <v>1</v>
      </c>
      <c r="BE14" s="2">
        <v>2</v>
      </c>
      <c r="BF14" s="2">
        <v>1</v>
      </c>
      <c r="BG14" s="2">
        <v>2</v>
      </c>
      <c r="BH14" s="2">
        <v>0</v>
      </c>
      <c r="BJ14">
        <f>SUM(Form_Responses[[#This Row],[Sit to Stand (Anticipatory Postural Adjustments)]:[Tandem Walk (Dynamic Gait)]])</f>
        <v>13</v>
      </c>
      <c r="BK14" s="3">
        <v>10</v>
      </c>
      <c r="BL14" s="3">
        <v>1</v>
      </c>
      <c r="BM14" s="3">
        <v>10</v>
      </c>
      <c r="BN14" s="3">
        <v>8</v>
      </c>
      <c r="BO14" s="3">
        <v>8</v>
      </c>
      <c r="BP14" s="3">
        <v>10</v>
      </c>
      <c r="BQ14" s="3">
        <v>2</v>
      </c>
      <c r="BR14" s="3">
        <v>7</v>
      </c>
      <c r="BS14" s="3">
        <v>10</v>
      </c>
      <c r="BT14" s="3">
        <v>2</v>
      </c>
      <c r="BV14">
        <f>SUM(Form_Responses[[#This Row],[How confident are you in Taking a bath or shower without falling?]:[How confident are you in Getting on and off the toilet without falling?]])</f>
        <v>68</v>
      </c>
    </row>
    <row r="15" spans="1:74" ht="119.4" thickBot="1" x14ac:dyDescent="0.35">
      <c r="A15" s="5" t="s">
        <v>273</v>
      </c>
      <c r="B15" s="6">
        <v>73</v>
      </c>
      <c r="C15" s="7" t="s">
        <v>104</v>
      </c>
      <c r="D15" s="7" t="s">
        <v>73</v>
      </c>
      <c r="E15" s="7" t="s">
        <v>94</v>
      </c>
      <c r="F15" s="7" t="s">
        <v>147</v>
      </c>
      <c r="G15" s="7" t="s">
        <v>76</v>
      </c>
      <c r="H15" s="7" t="s">
        <v>149</v>
      </c>
      <c r="I15" s="7">
        <v>10</v>
      </c>
      <c r="J15" s="7">
        <v>3</v>
      </c>
      <c r="K15" s="7" t="s">
        <v>144</v>
      </c>
      <c r="L15" s="7" t="s">
        <v>139</v>
      </c>
      <c r="M15" s="7" t="s">
        <v>81</v>
      </c>
      <c r="N15" s="7" t="s">
        <v>81</v>
      </c>
      <c r="O15" s="7" t="s">
        <v>81</v>
      </c>
      <c r="P15" s="7" t="s">
        <v>79</v>
      </c>
      <c r="Q15" s="7" t="s">
        <v>271</v>
      </c>
      <c r="R15" s="7" t="s">
        <v>81</v>
      </c>
      <c r="S15" s="7" t="s">
        <v>124</v>
      </c>
      <c r="T15" s="7" t="s">
        <v>79</v>
      </c>
      <c r="U15" s="7" t="s">
        <v>272</v>
      </c>
      <c r="V15" s="6">
        <v>25</v>
      </c>
      <c r="W15" s="7" t="s">
        <v>79</v>
      </c>
      <c r="X15" s="7" t="s">
        <v>82</v>
      </c>
      <c r="Y15" s="7" t="s">
        <v>83</v>
      </c>
      <c r="Z15" s="7" t="s">
        <v>83</v>
      </c>
      <c r="AA15" s="7" t="s">
        <v>84</v>
      </c>
      <c r="AB15" s="7" t="s">
        <v>79</v>
      </c>
      <c r="AC15" s="8"/>
      <c r="AD15" s="7" t="s">
        <v>82</v>
      </c>
      <c r="AE15" s="7">
        <v>2</v>
      </c>
      <c r="AF15" s="7">
        <v>3</v>
      </c>
      <c r="AG15" s="7">
        <v>2</v>
      </c>
      <c r="AH15" s="7">
        <v>2</v>
      </c>
      <c r="AI15" s="7">
        <v>1</v>
      </c>
      <c r="AJ15" s="7">
        <v>3</v>
      </c>
      <c r="AK15" s="7">
        <v>1</v>
      </c>
      <c r="AL15" s="7">
        <v>2</v>
      </c>
      <c r="AM15" s="7">
        <v>2</v>
      </c>
      <c r="AN15" s="7">
        <v>2</v>
      </c>
      <c r="AO15" s="7">
        <v>2</v>
      </c>
      <c r="AP15" s="7">
        <v>1</v>
      </c>
      <c r="AQ15" s="7">
        <v>3</v>
      </c>
      <c r="AR15" s="7">
        <v>1</v>
      </c>
      <c r="AS15" s="9"/>
      <c r="AT15">
        <f>Form_Responses[[#This Row],[Sitting to Standing]]+SUM(Form_Responses[[#This Row],[Sitting to Standing]:[Standing on One Leg]])</f>
        <v>29</v>
      </c>
      <c r="AU15" s="7">
        <v>1</v>
      </c>
      <c r="AV15" s="7">
        <v>0</v>
      </c>
      <c r="AW15" s="7">
        <v>1</v>
      </c>
      <c r="AX15" s="7">
        <v>1</v>
      </c>
      <c r="AY15" s="7">
        <v>1</v>
      </c>
      <c r="AZ15" s="7">
        <v>1</v>
      </c>
      <c r="BA15" s="7">
        <v>1</v>
      </c>
      <c r="BB15" s="7">
        <v>0</v>
      </c>
      <c r="BC15" s="7">
        <v>1</v>
      </c>
      <c r="BD15" s="7">
        <v>1</v>
      </c>
      <c r="BE15" s="7">
        <v>1</v>
      </c>
      <c r="BF15" s="7">
        <v>1</v>
      </c>
      <c r="BG15" s="7">
        <v>1</v>
      </c>
      <c r="BH15" s="7">
        <v>0</v>
      </c>
      <c r="BJ15">
        <f>SUM(Form_Responses[[#This Row],[Sit to Stand (Anticipatory Postural Adjustments)]:[Tandem Walk (Dynamic Gait)]])</f>
        <v>11</v>
      </c>
      <c r="BK15" s="6">
        <v>8</v>
      </c>
      <c r="BL15" s="6">
        <v>9</v>
      </c>
      <c r="BM15" s="6">
        <v>5</v>
      </c>
      <c r="BN15" s="6">
        <v>7</v>
      </c>
      <c r="BO15" s="6">
        <v>6</v>
      </c>
      <c r="BP15" s="6">
        <v>6</v>
      </c>
      <c r="BQ15" s="6">
        <v>6</v>
      </c>
      <c r="BR15" s="6">
        <v>9</v>
      </c>
      <c r="BS15" s="6">
        <v>5</v>
      </c>
      <c r="BT15" s="6">
        <v>6</v>
      </c>
      <c r="BV15">
        <f>SUM(Form_Responses[[#This Row],[How confident are you in Taking a bath or shower without falling?]:[How confident are you in Getting on and off the toilet without falling?]])</f>
        <v>67</v>
      </c>
    </row>
    <row r="16" spans="1:74" ht="118.8" x14ac:dyDescent="0.3">
      <c r="A16" s="10" t="s">
        <v>277</v>
      </c>
      <c r="B16" s="11">
        <v>70</v>
      </c>
      <c r="C16" s="12" t="s">
        <v>72</v>
      </c>
      <c r="D16" s="12" t="s">
        <v>73</v>
      </c>
      <c r="E16" s="12" t="s">
        <v>86</v>
      </c>
      <c r="F16" s="12" t="s">
        <v>274</v>
      </c>
      <c r="G16" s="12" t="s">
        <v>76</v>
      </c>
      <c r="H16" s="11">
        <v>2020</v>
      </c>
      <c r="I16" s="11">
        <v>5</v>
      </c>
      <c r="J16" s="12">
        <v>2</v>
      </c>
      <c r="K16" s="12" t="s">
        <v>130</v>
      </c>
      <c r="L16" s="12" t="s">
        <v>90</v>
      </c>
      <c r="M16" s="12" t="s">
        <v>79</v>
      </c>
      <c r="N16" s="12" t="s">
        <v>79</v>
      </c>
      <c r="O16" s="12" t="s">
        <v>79</v>
      </c>
      <c r="P16" s="12" t="s">
        <v>79</v>
      </c>
      <c r="Q16" s="13"/>
      <c r="R16" s="12" t="s">
        <v>275</v>
      </c>
      <c r="S16" s="11">
        <v>0</v>
      </c>
      <c r="T16" s="12" t="s">
        <v>157</v>
      </c>
      <c r="U16" s="12" t="s">
        <v>100</v>
      </c>
      <c r="V16" s="11">
        <v>25</v>
      </c>
      <c r="W16" s="12" t="s">
        <v>79</v>
      </c>
      <c r="X16" s="12" t="s">
        <v>82</v>
      </c>
      <c r="Y16" s="12" t="s">
        <v>101</v>
      </c>
      <c r="Z16" s="12" t="s">
        <v>276</v>
      </c>
      <c r="AA16" s="13"/>
      <c r="AB16" s="12" t="s">
        <v>79</v>
      </c>
      <c r="AC16" s="13"/>
      <c r="AD16" s="12" t="s">
        <v>82</v>
      </c>
      <c r="AE16" s="12">
        <v>1</v>
      </c>
      <c r="AF16" s="12">
        <v>3</v>
      </c>
      <c r="AG16" s="12">
        <v>3</v>
      </c>
      <c r="AH16" s="12">
        <v>2</v>
      </c>
      <c r="AI16" s="12">
        <v>3</v>
      </c>
      <c r="AJ16" s="12">
        <v>3</v>
      </c>
      <c r="AK16" s="12">
        <v>2</v>
      </c>
      <c r="AL16" s="12">
        <v>3</v>
      </c>
      <c r="AM16" s="12">
        <v>0</v>
      </c>
      <c r="AN16" s="12">
        <v>2</v>
      </c>
      <c r="AO16" s="12">
        <v>2</v>
      </c>
      <c r="AP16" s="12">
        <v>3</v>
      </c>
      <c r="AQ16" s="12">
        <v>3</v>
      </c>
      <c r="AR16" s="12">
        <v>2</v>
      </c>
      <c r="AS16" s="14"/>
      <c r="AT16">
        <v>32</v>
      </c>
      <c r="AU16" s="12">
        <v>1</v>
      </c>
      <c r="AV16" s="12">
        <v>1</v>
      </c>
      <c r="AW16" s="12">
        <v>1</v>
      </c>
      <c r="AX16" s="12">
        <v>1</v>
      </c>
      <c r="AY16" s="12">
        <v>0</v>
      </c>
      <c r="AZ16" s="12">
        <v>0</v>
      </c>
      <c r="BA16" s="12">
        <v>1</v>
      </c>
      <c r="BB16" s="12">
        <v>0</v>
      </c>
      <c r="BC16" s="12">
        <v>1</v>
      </c>
      <c r="BD16" s="12">
        <v>2</v>
      </c>
      <c r="BE16" s="12">
        <v>0</v>
      </c>
      <c r="BF16" s="12">
        <v>0</v>
      </c>
      <c r="BG16" s="12">
        <v>1</v>
      </c>
      <c r="BH16" s="12">
        <v>1</v>
      </c>
      <c r="BJ16" s="2">
        <f>SUM(Form_Responses[[#This Row],[Sit to Stand (Anticipatory Postural Adjustments)]:[Tandem Walk (Dynamic Gait)]])</f>
        <v>10</v>
      </c>
      <c r="BK16" s="11">
        <v>8</v>
      </c>
      <c r="BL16" s="11">
        <v>4</v>
      </c>
      <c r="BM16" s="11">
        <v>6</v>
      </c>
      <c r="BN16" s="11">
        <v>10</v>
      </c>
      <c r="BO16" s="11">
        <v>8</v>
      </c>
      <c r="BP16" s="11">
        <v>9</v>
      </c>
      <c r="BQ16" s="11">
        <v>4</v>
      </c>
      <c r="BR16" s="11">
        <v>5</v>
      </c>
      <c r="BS16" s="11">
        <v>7</v>
      </c>
      <c r="BT16" s="11">
        <v>6</v>
      </c>
      <c r="BV16">
        <f>SUM(Form_Responses[[#This Row],[How confident are you in Taking a bath or shower without falling?]:[How confident are you in Getting on and off the toilet without falling?]])</f>
        <v>67</v>
      </c>
    </row>
    <row r="17" spans="2:2" x14ac:dyDescent="0.3">
      <c r="B17">
        <f>SUBTOTAL(101,Form_Responses[Age (in years)])</f>
        <v>71.599999999999994</v>
      </c>
    </row>
    <row r="18" spans="2:2" x14ac:dyDescent="0.3">
      <c r="B18">
        <f>STDEV(Form_Responses[Age (in years)])</f>
        <v>5.9617830506365417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999E2-B6F7-494A-BD40-395467C4885A}">
  <dimension ref="A1:CA19"/>
  <sheetViews>
    <sheetView workbookViewId="0">
      <selection activeCell="C19" sqref="C19"/>
    </sheetView>
  </sheetViews>
  <sheetFormatPr defaultRowHeight="14.4" x14ac:dyDescent="0.3"/>
  <cols>
    <col min="8" max="8" width="17.109375" customWidth="1"/>
  </cols>
  <sheetData>
    <row r="1" spans="1:79" x14ac:dyDescent="0.3">
      <c r="A1" t="s">
        <v>172</v>
      </c>
      <c r="B1" t="s">
        <v>173</v>
      </c>
      <c r="C1" t="s">
        <v>174</v>
      </c>
      <c r="D1" t="s">
        <v>2</v>
      </c>
      <c r="E1" t="s">
        <v>3</v>
      </c>
      <c r="F1" t="s">
        <v>175</v>
      </c>
      <c r="G1" t="s">
        <v>176</v>
      </c>
      <c r="H1" t="s">
        <v>177</v>
      </c>
      <c r="I1" t="s">
        <v>178</v>
      </c>
      <c r="J1" t="s">
        <v>179</v>
      </c>
      <c r="K1" t="s">
        <v>180</v>
      </c>
      <c r="L1" t="s">
        <v>181</v>
      </c>
      <c r="M1" t="s">
        <v>182</v>
      </c>
      <c r="N1" t="s">
        <v>24</v>
      </c>
      <c r="O1" t="s">
        <v>183</v>
      </c>
      <c r="P1" t="s">
        <v>184</v>
      </c>
      <c r="Q1" t="s">
        <v>185</v>
      </c>
      <c r="R1" t="s">
        <v>186</v>
      </c>
      <c r="S1" t="s">
        <v>187</v>
      </c>
      <c r="T1" t="s">
        <v>188</v>
      </c>
      <c r="U1" t="s">
        <v>189</v>
      </c>
      <c r="V1" t="s">
        <v>190</v>
      </c>
      <c r="W1" t="s">
        <v>44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169</v>
      </c>
      <c r="AM1" t="s">
        <v>44</v>
      </c>
      <c r="AN1" t="s">
        <v>191</v>
      </c>
      <c r="AO1" t="s">
        <v>192</v>
      </c>
      <c r="AP1" t="s">
        <v>193</v>
      </c>
      <c r="AQ1" t="s">
        <v>194</v>
      </c>
      <c r="AR1" t="s">
        <v>195</v>
      </c>
      <c r="AS1" t="s">
        <v>196</v>
      </c>
      <c r="AT1" t="s">
        <v>197</v>
      </c>
      <c r="AU1" t="s">
        <v>198</v>
      </c>
      <c r="AV1" t="s">
        <v>199</v>
      </c>
      <c r="AW1" t="s">
        <v>200</v>
      </c>
      <c r="AX1" t="s">
        <v>201</v>
      </c>
      <c r="AY1" t="s">
        <v>202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203</v>
      </c>
      <c r="BO1" t="s">
        <v>44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  <c r="BZ1" t="s">
        <v>171</v>
      </c>
      <c r="CA1" t="s">
        <v>44</v>
      </c>
    </row>
    <row r="2" spans="1:79" x14ac:dyDescent="0.3">
      <c r="A2" t="s">
        <v>245</v>
      </c>
      <c r="B2" t="s">
        <v>204</v>
      </c>
      <c r="C2">
        <v>35</v>
      </c>
      <c r="D2" t="s">
        <v>72</v>
      </c>
      <c r="E2" t="s">
        <v>73</v>
      </c>
      <c r="F2" t="s">
        <v>86</v>
      </c>
      <c r="G2" t="s">
        <v>79</v>
      </c>
      <c r="H2">
        <v>8</v>
      </c>
      <c r="I2" t="s">
        <v>205</v>
      </c>
      <c r="J2">
        <v>8</v>
      </c>
      <c r="K2" t="s">
        <v>206</v>
      </c>
      <c r="L2" t="s">
        <v>206</v>
      </c>
      <c r="M2" t="s">
        <v>206</v>
      </c>
      <c r="N2" t="s">
        <v>207</v>
      </c>
      <c r="O2" t="s">
        <v>83</v>
      </c>
      <c r="P2" t="s">
        <v>208</v>
      </c>
      <c r="Q2" t="s">
        <v>110</v>
      </c>
      <c r="R2" t="s">
        <v>83</v>
      </c>
      <c r="S2" t="s">
        <v>209</v>
      </c>
      <c r="T2" t="s">
        <v>209</v>
      </c>
      <c r="U2" t="s">
        <v>96</v>
      </c>
      <c r="V2" t="s">
        <v>210</v>
      </c>
      <c r="X2">
        <v>4</v>
      </c>
      <c r="Y2">
        <v>4</v>
      </c>
      <c r="Z2">
        <v>4</v>
      </c>
      <c r="AA2">
        <v>4</v>
      </c>
      <c r="AB2">
        <v>4</v>
      </c>
      <c r="AC2">
        <v>4</v>
      </c>
      <c r="AD2">
        <v>4</v>
      </c>
      <c r="AE2">
        <v>4</v>
      </c>
      <c r="AF2">
        <v>4</v>
      </c>
      <c r="AG2">
        <v>4</v>
      </c>
      <c r="AH2">
        <v>4</v>
      </c>
      <c r="AI2">
        <v>4</v>
      </c>
      <c r="AJ2">
        <v>4</v>
      </c>
      <c r="AK2">
        <v>4</v>
      </c>
      <c r="AL2">
        <v>56</v>
      </c>
      <c r="AN2">
        <v>30</v>
      </c>
      <c r="AO2" t="s">
        <v>211</v>
      </c>
      <c r="AP2" t="s">
        <v>79</v>
      </c>
      <c r="AQ2">
        <v>30</v>
      </c>
      <c r="AR2" t="s">
        <v>211</v>
      </c>
      <c r="AS2" t="s">
        <v>79</v>
      </c>
      <c r="AT2">
        <v>30</v>
      </c>
      <c r="AU2" t="s">
        <v>211</v>
      </c>
      <c r="AV2" t="s">
        <v>79</v>
      </c>
      <c r="AW2">
        <v>30</v>
      </c>
      <c r="AX2" t="s">
        <v>211</v>
      </c>
      <c r="AY2" t="s">
        <v>79</v>
      </c>
      <c r="AZ2">
        <v>2</v>
      </c>
      <c r="BA2">
        <v>2</v>
      </c>
      <c r="BB2">
        <v>2</v>
      </c>
      <c r="BC2">
        <v>2</v>
      </c>
      <c r="BD2">
        <v>2</v>
      </c>
      <c r="BE2">
        <v>2</v>
      </c>
      <c r="BF2">
        <v>2</v>
      </c>
      <c r="BG2">
        <v>2</v>
      </c>
      <c r="BH2">
        <v>2</v>
      </c>
      <c r="BI2">
        <v>2</v>
      </c>
      <c r="BJ2">
        <v>2</v>
      </c>
      <c r="BK2">
        <v>2</v>
      </c>
      <c r="BL2">
        <v>2</v>
      </c>
      <c r="BM2">
        <v>2</v>
      </c>
      <c r="BN2">
        <v>28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10</v>
      </c>
    </row>
    <row r="3" spans="1:79" x14ac:dyDescent="0.3">
      <c r="A3" t="s">
        <v>246</v>
      </c>
      <c r="B3" t="s">
        <v>204</v>
      </c>
      <c r="C3">
        <v>41</v>
      </c>
      <c r="D3" t="s">
        <v>72</v>
      </c>
      <c r="E3" t="s">
        <v>73</v>
      </c>
      <c r="F3" t="s">
        <v>120</v>
      </c>
      <c r="G3" t="s">
        <v>79</v>
      </c>
      <c r="H3">
        <v>16</v>
      </c>
      <c r="I3" t="s">
        <v>205</v>
      </c>
      <c r="J3">
        <v>8</v>
      </c>
      <c r="K3" t="s">
        <v>206</v>
      </c>
      <c r="L3" t="s">
        <v>206</v>
      </c>
      <c r="M3" t="s">
        <v>212</v>
      </c>
      <c r="N3" t="s">
        <v>207</v>
      </c>
      <c r="O3" t="s">
        <v>83</v>
      </c>
      <c r="P3" t="s">
        <v>83</v>
      </c>
      <c r="Q3" t="s">
        <v>82</v>
      </c>
      <c r="R3" t="s">
        <v>83</v>
      </c>
      <c r="S3" t="s">
        <v>209</v>
      </c>
      <c r="T3" t="s">
        <v>209</v>
      </c>
      <c r="U3" t="s">
        <v>76</v>
      </c>
      <c r="V3" t="s">
        <v>210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3</v>
      </c>
      <c r="AH3">
        <v>4</v>
      </c>
      <c r="AI3">
        <v>4</v>
      </c>
      <c r="AJ3">
        <v>1</v>
      </c>
      <c r="AK3">
        <v>4</v>
      </c>
      <c r="AL3">
        <v>52</v>
      </c>
      <c r="AN3">
        <v>5</v>
      </c>
      <c r="AO3" t="s">
        <v>211</v>
      </c>
      <c r="AP3" t="s">
        <v>79</v>
      </c>
      <c r="AQ3">
        <v>5</v>
      </c>
      <c r="AR3" t="s">
        <v>211</v>
      </c>
      <c r="AS3" t="s">
        <v>81</v>
      </c>
      <c r="AT3">
        <v>5</v>
      </c>
      <c r="AU3" t="s">
        <v>211</v>
      </c>
      <c r="AV3" t="s">
        <v>81</v>
      </c>
      <c r="AW3">
        <v>5</v>
      </c>
      <c r="AX3" t="s">
        <v>213</v>
      </c>
      <c r="AY3" t="s">
        <v>81</v>
      </c>
      <c r="AZ3">
        <v>2</v>
      </c>
      <c r="BA3">
        <v>2</v>
      </c>
      <c r="BB3">
        <v>2</v>
      </c>
      <c r="BC3">
        <v>2</v>
      </c>
      <c r="BD3">
        <v>1</v>
      </c>
      <c r="BE3">
        <v>2</v>
      </c>
      <c r="BF3">
        <v>2</v>
      </c>
      <c r="BG3">
        <v>2</v>
      </c>
      <c r="BH3">
        <v>2</v>
      </c>
      <c r="BI3">
        <v>1</v>
      </c>
      <c r="BJ3">
        <v>1</v>
      </c>
      <c r="BK3">
        <v>2</v>
      </c>
      <c r="BL3">
        <v>2</v>
      </c>
      <c r="BM3">
        <v>1</v>
      </c>
      <c r="BN3">
        <v>24</v>
      </c>
      <c r="BP3">
        <v>1</v>
      </c>
      <c r="BQ3">
        <v>1</v>
      </c>
      <c r="BR3">
        <v>1</v>
      </c>
      <c r="BS3">
        <v>1</v>
      </c>
      <c r="BT3">
        <v>2</v>
      </c>
      <c r="BU3">
        <v>1</v>
      </c>
      <c r="BV3">
        <v>2</v>
      </c>
      <c r="BW3">
        <v>1</v>
      </c>
      <c r="BX3">
        <v>2</v>
      </c>
      <c r="BY3">
        <v>2</v>
      </c>
      <c r="BZ3">
        <v>14</v>
      </c>
    </row>
    <row r="4" spans="1:79" x14ac:dyDescent="0.3">
      <c r="A4" t="s">
        <v>247</v>
      </c>
      <c r="B4" t="s">
        <v>204</v>
      </c>
      <c r="C4">
        <v>41</v>
      </c>
      <c r="D4" t="s">
        <v>72</v>
      </c>
      <c r="E4" t="s">
        <v>73</v>
      </c>
      <c r="F4" t="s">
        <v>120</v>
      </c>
      <c r="H4">
        <v>16</v>
      </c>
      <c r="I4" t="s">
        <v>205</v>
      </c>
      <c r="J4">
        <v>8</v>
      </c>
      <c r="K4" t="s">
        <v>206</v>
      </c>
      <c r="L4" t="s">
        <v>206</v>
      </c>
      <c r="M4" t="s">
        <v>212</v>
      </c>
      <c r="N4" t="s">
        <v>207</v>
      </c>
      <c r="O4" t="s">
        <v>83</v>
      </c>
      <c r="P4" t="s">
        <v>83</v>
      </c>
      <c r="Q4" t="s">
        <v>82</v>
      </c>
      <c r="R4" t="s">
        <v>83</v>
      </c>
      <c r="S4" t="s">
        <v>209</v>
      </c>
      <c r="T4" t="s">
        <v>209</v>
      </c>
      <c r="U4" t="s">
        <v>96</v>
      </c>
      <c r="V4" t="s">
        <v>210</v>
      </c>
      <c r="X4">
        <v>4</v>
      </c>
      <c r="Y4">
        <v>4</v>
      </c>
      <c r="Z4">
        <v>4</v>
      </c>
      <c r="AA4">
        <v>4</v>
      </c>
      <c r="AB4">
        <v>4</v>
      </c>
      <c r="AC4">
        <v>4</v>
      </c>
      <c r="AD4">
        <v>4</v>
      </c>
      <c r="AE4">
        <v>4</v>
      </c>
      <c r="AF4">
        <v>4</v>
      </c>
      <c r="AG4">
        <v>3</v>
      </c>
      <c r="AH4">
        <v>4</v>
      </c>
      <c r="AI4">
        <v>4</v>
      </c>
      <c r="AJ4">
        <v>4</v>
      </c>
      <c r="AK4">
        <v>4</v>
      </c>
      <c r="AL4">
        <v>55</v>
      </c>
      <c r="AN4">
        <v>30</v>
      </c>
      <c r="AO4" t="s">
        <v>211</v>
      </c>
      <c r="AP4" t="s">
        <v>79</v>
      </c>
      <c r="AQ4">
        <v>30</v>
      </c>
      <c r="AR4" t="s">
        <v>211</v>
      </c>
      <c r="AS4" t="s">
        <v>79</v>
      </c>
      <c r="AT4">
        <v>30</v>
      </c>
      <c r="AU4" t="s">
        <v>211</v>
      </c>
      <c r="AV4" t="s">
        <v>79</v>
      </c>
      <c r="AW4">
        <v>30</v>
      </c>
      <c r="AX4" t="s">
        <v>211</v>
      </c>
      <c r="AY4" t="s">
        <v>79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1</v>
      </c>
      <c r="BI4">
        <v>2</v>
      </c>
      <c r="BJ4">
        <v>2</v>
      </c>
      <c r="BK4">
        <v>2</v>
      </c>
      <c r="BL4">
        <v>2</v>
      </c>
      <c r="BM4">
        <v>2</v>
      </c>
      <c r="BN4">
        <v>27</v>
      </c>
      <c r="BP4">
        <v>1</v>
      </c>
      <c r="BQ4">
        <v>1</v>
      </c>
      <c r="BR4">
        <v>1</v>
      </c>
      <c r="BS4">
        <v>1</v>
      </c>
      <c r="BT4">
        <v>2</v>
      </c>
      <c r="BU4">
        <v>1</v>
      </c>
      <c r="BV4">
        <v>2</v>
      </c>
      <c r="BW4">
        <v>1</v>
      </c>
      <c r="BX4">
        <v>1</v>
      </c>
      <c r="BY4">
        <v>1</v>
      </c>
      <c r="BZ4">
        <v>12</v>
      </c>
    </row>
    <row r="5" spans="1:79" x14ac:dyDescent="0.3">
      <c r="A5" t="s">
        <v>248</v>
      </c>
      <c r="B5" t="s">
        <v>204</v>
      </c>
      <c r="C5">
        <v>47</v>
      </c>
      <c r="D5" t="s">
        <v>72</v>
      </c>
      <c r="E5" t="s">
        <v>73</v>
      </c>
      <c r="F5" t="s">
        <v>214</v>
      </c>
      <c r="H5">
        <v>25</v>
      </c>
      <c r="I5" t="s">
        <v>215</v>
      </c>
      <c r="J5">
        <v>8</v>
      </c>
      <c r="K5" t="s">
        <v>216</v>
      </c>
      <c r="L5" t="s">
        <v>212</v>
      </c>
      <c r="M5" t="s">
        <v>212</v>
      </c>
      <c r="N5" t="s">
        <v>207</v>
      </c>
      <c r="O5" t="s">
        <v>83</v>
      </c>
      <c r="P5" t="s">
        <v>208</v>
      </c>
      <c r="Q5" t="s">
        <v>217</v>
      </c>
      <c r="R5" t="s">
        <v>83</v>
      </c>
      <c r="S5" t="s">
        <v>83</v>
      </c>
      <c r="T5" t="s">
        <v>83</v>
      </c>
      <c r="U5" t="s">
        <v>76</v>
      </c>
      <c r="V5" t="s">
        <v>210</v>
      </c>
      <c r="X5">
        <v>4</v>
      </c>
      <c r="Y5">
        <v>4</v>
      </c>
      <c r="Z5">
        <v>4</v>
      </c>
      <c r="AA5">
        <v>4</v>
      </c>
      <c r="AB5">
        <v>4</v>
      </c>
      <c r="AC5">
        <v>4</v>
      </c>
      <c r="AD5">
        <v>4</v>
      </c>
      <c r="AE5">
        <v>4</v>
      </c>
      <c r="AF5">
        <v>4</v>
      </c>
      <c r="AG5">
        <v>4</v>
      </c>
      <c r="AH5">
        <v>4</v>
      </c>
      <c r="AI5">
        <v>4</v>
      </c>
      <c r="AJ5">
        <v>4</v>
      </c>
      <c r="AK5">
        <v>4</v>
      </c>
      <c r="AL5">
        <v>56</v>
      </c>
      <c r="AN5">
        <v>30</v>
      </c>
      <c r="AO5" t="s">
        <v>211</v>
      </c>
      <c r="AP5" t="s">
        <v>79</v>
      </c>
      <c r="AQ5">
        <v>30</v>
      </c>
      <c r="AR5" t="s">
        <v>211</v>
      </c>
      <c r="AS5" t="s">
        <v>79</v>
      </c>
      <c r="AT5">
        <v>30</v>
      </c>
      <c r="AU5" t="s">
        <v>211</v>
      </c>
      <c r="AV5" t="s">
        <v>79</v>
      </c>
      <c r="AW5">
        <v>30</v>
      </c>
      <c r="AX5" t="s">
        <v>211</v>
      </c>
      <c r="AY5" t="s">
        <v>79</v>
      </c>
      <c r="AZ5">
        <v>2</v>
      </c>
      <c r="BA5">
        <v>2</v>
      </c>
      <c r="BB5">
        <v>2</v>
      </c>
      <c r="BC5">
        <v>2</v>
      </c>
      <c r="BD5">
        <v>2</v>
      </c>
      <c r="BE5">
        <v>2</v>
      </c>
      <c r="BF5">
        <v>2</v>
      </c>
      <c r="BG5">
        <v>2</v>
      </c>
      <c r="BH5">
        <v>2</v>
      </c>
      <c r="BI5">
        <v>2</v>
      </c>
      <c r="BJ5">
        <v>2</v>
      </c>
      <c r="BK5">
        <v>2</v>
      </c>
      <c r="BL5">
        <v>2</v>
      </c>
      <c r="BM5">
        <v>2</v>
      </c>
      <c r="BN5">
        <v>28</v>
      </c>
      <c r="BP5">
        <v>1</v>
      </c>
      <c r="BQ5">
        <v>1</v>
      </c>
      <c r="BR5">
        <v>2</v>
      </c>
      <c r="BS5">
        <v>2</v>
      </c>
      <c r="BT5">
        <v>2</v>
      </c>
      <c r="BU5">
        <v>2</v>
      </c>
      <c r="BV5">
        <v>2</v>
      </c>
      <c r="BW5">
        <v>2</v>
      </c>
      <c r="BX5">
        <v>2</v>
      </c>
      <c r="BY5">
        <v>2</v>
      </c>
      <c r="BZ5">
        <v>18</v>
      </c>
    </row>
    <row r="6" spans="1:79" x14ac:dyDescent="0.3">
      <c r="A6" t="s">
        <v>249</v>
      </c>
      <c r="B6" t="s">
        <v>204</v>
      </c>
      <c r="C6">
        <v>49</v>
      </c>
      <c r="D6" t="s">
        <v>72</v>
      </c>
      <c r="E6" t="s">
        <v>73</v>
      </c>
      <c r="F6" t="s">
        <v>214</v>
      </c>
      <c r="G6" t="s">
        <v>81</v>
      </c>
      <c r="H6">
        <v>35</v>
      </c>
      <c r="I6" t="s">
        <v>205</v>
      </c>
      <c r="J6">
        <v>8</v>
      </c>
      <c r="K6" t="s">
        <v>216</v>
      </c>
      <c r="L6" t="s">
        <v>216</v>
      </c>
      <c r="M6" t="s">
        <v>216</v>
      </c>
      <c r="N6" t="s">
        <v>218</v>
      </c>
      <c r="O6" t="s">
        <v>219</v>
      </c>
      <c r="P6" t="s">
        <v>208</v>
      </c>
      <c r="Q6" t="s">
        <v>220</v>
      </c>
      <c r="R6" t="s">
        <v>83</v>
      </c>
      <c r="S6" t="s">
        <v>157</v>
      </c>
      <c r="T6" t="s">
        <v>209</v>
      </c>
      <c r="U6" t="s">
        <v>76</v>
      </c>
      <c r="V6" t="s">
        <v>210</v>
      </c>
      <c r="W6" t="s">
        <v>221</v>
      </c>
      <c r="X6">
        <v>4</v>
      </c>
      <c r="Y6">
        <v>4</v>
      </c>
      <c r="Z6">
        <v>4</v>
      </c>
      <c r="AA6">
        <v>4</v>
      </c>
      <c r="AB6">
        <v>4</v>
      </c>
      <c r="AC6">
        <v>3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  <c r="AL6">
        <v>55</v>
      </c>
      <c r="AN6">
        <v>30</v>
      </c>
      <c r="AO6" t="s">
        <v>213</v>
      </c>
      <c r="AP6" t="s">
        <v>79</v>
      </c>
      <c r="AQ6">
        <v>30</v>
      </c>
      <c r="AR6" t="s">
        <v>213</v>
      </c>
      <c r="AS6" t="s">
        <v>79</v>
      </c>
      <c r="AT6">
        <v>30</v>
      </c>
      <c r="AU6" t="s">
        <v>213</v>
      </c>
      <c r="AV6" t="s">
        <v>79</v>
      </c>
      <c r="AW6">
        <v>30</v>
      </c>
      <c r="AX6" t="s">
        <v>213</v>
      </c>
      <c r="AY6" t="s">
        <v>79</v>
      </c>
      <c r="AZ6">
        <v>2</v>
      </c>
      <c r="BA6">
        <v>2</v>
      </c>
      <c r="BB6">
        <v>2</v>
      </c>
      <c r="BC6">
        <v>2</v>
      </c>
      <c r="BD6">
        <v>2</v>
      </c>
      <c r="BE6">
        <v>2</v>
      </c>
      <c r="BF6">
        <v>2</v>
      </c>
      <c r="BG6">
        <v>2</v>
      </c>
      <c r="BH6">
        <v>2</v>
      </c>
      <c r="BI6">
        <v>2</v>
      </c>
      <c r="BJ6">
        <v>2</v>
      </c>
      <c r="BK6">
        <v>2</v>
      </c>
      <c r="BL6">
        <v>2</v>
      </c>
      <c r="BM6">
        <v>1</v>
      </c>
      <c r="BN6">
        <v>27</v>
      </c>
      <c r="BP6">
        <v>6</v>
      </c>
      <c r="BQ6">
        <v>6</v>
      </c>
      <c r="BR6">
        <v>6</v>
      </c>
      <c r="BS6">
        <v>6</v>
      </c>
      <c r="BT6">
        <v>6</v>
      </c>
      <c r="BU6">
        <v>6</v>
      </c>
      <c r="BV6">
        <v>6</v>
      </c>
      <c r="BW6">
        <v>6</v>
      </c>
      <c r="BX6">
        <v>6</v>
      </c>
      <c r="BY6">
        <v>6</v>
      </c>
      <c r="BZ6">
        <v>60</v>
      </c>
    </row>
    <row r="7" spans="1:79" x14ac:dyDescent="0.3">
      <c r="A7" t="s">
        <v>250</v>
      </c>
      <c r="B7" t="s">
        <v>204</v>
      </c>
      <c r="C7">
        <v>46</v>
      </c>
      <c r="D7" t="s">
        <v>72</v>
      </c>
      <c r="E7" t="s">
        <v>73</v>
      </c>
      <c r="F7" t="s">
        <v>214</v>
      </c>
      <c r="H7">
        <v>32</v>
      </c>
      <c r="I7" t="s">
        <v>222</v>
      </c>
      <c r="J7">
        <v>12</v>
      </c>
      <c r="K7" t="s">
        <v>216</v>
      </c>
      <c r="L7" t="s">
        <v>216</v>
      </c>
      <c r="M7" t="s">
        <v>216</v>
      </c>
      <c r="N7" t="s">
        <v>207</v>
      </c>
      <c r="O7" t="s">
        <v>223</v>
      </c>
      <c r="P7" t="s">
        <v>224</v>
      </c>
      <c r="Q7" t="s">
        <v>217</v>
      </c>
      <c r="R7" t="s">
        <v>83</v>
      </c>
      <c r="S7" t="s">
        <v>157</v>
      </c>
      <c r="T7" t="s">
        <v>209</v>
      </c>
      <c r="U7" t="s">
        <v>76</v>
      </c>
      <c r="V7" t="s">
        <v>210</v>
      </c>
      <c r="X7">
        <v>3</v>
      </c>
      <c r="Y7">
        <v>3</v>
      </c>
      <c r="Z7">
        <v>3</v>
      </c>
      <c r="AA7">
        <v>3</v>
      </c>
      <c r="AB7">
        <v>4</v>
      </c>
      <c r="AC7">
        <v>3</v>
      </c>
      <c r="AD7">
        <v>3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2</v>
      </c>
      <c r="AL7">
        <v>48</v>
      </c>
      <c r="AN7">
        <v>30</v>
      </c>
      <c r="AO7" t="s">
        <v>213</v>
      </c>
      <c r="AP7" t="s">
        <v>79</v>
      </c>
      <c r="AQ7">
        <v>30</v>
      </c>
      <c r="AR7" t="s">
        <v>213</v>
      </c>
      <c r="AS7" t="s">
        <v>81</v>
      </c>
      <c r="AT7">
        <v>30</v>
      </c>
      <c r="AU7" t="s">
        <v>213</v>
      </c>
      <c r="AV7" t="s">
        <v>79</v>
      </c>
      <c r="AW7">
        <v>30</v>
      </c>
      <c r="AX7" t="s">
        <v>213</v>
      </c>
      <c r="AY7" t="s">
        <v>79</v>
      </c>
      <c r="AZ7">
        <v>2</v>
      </c>
      <c r="BA7">
        <v>0</v>
      </c>
      <c r="BB7">
        <v>0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13</v>
      </c>
      <c r="BP7">
        <v>6</v>
      </c>
      <c r="BQ7">
        <v>6</v>
      </c>
      <c r="BR7">
        <v>6</v>
      </c>
      <c r="BS7">
        <v>6</v>
      </c>
      <c r="BT7">
        <v>6</v>
      </c>
      <c r="BU7">
        <v>6</v>
      </c>
      <c r="BV7">
        <v>6</v>
      </c>
      <c r="BW7">
        <v>6</v>
      </c>
      <c r="BX7">
        <v>6</v>
      </c>
      <c r="BY7">
        <v>6</v>
      </c>
      <c r="BZ7">
        <v>60</v>
      </c>
    </row>
    <row r="8" spans="1:79" x14ac:dyDescent="0.3">
      <c r="A8" t="s">
        <v>251</v>
      </c>
      <c r="B8" t="s">
        <v>204</v>
      </c>
      <c r="C8">
        <v>53</v>
      </c>
      <c r="D8" t="s">
        <v>72</v>
      </c>
      <c r="E8" t="s">
        <v>73</v>
      </c>
      <c r="F8" t="s">
        <v>214</v>
      </c>
      <c r="G8" t="s">
        <v>81</v>
      </c>
      <c r="H8">
        <v>40</v>
      </c>
      <c r="I8" t="s">
        <v>205</v>
      </c>
      <c r="J8">
        <v>10</v>
      </c>
      <c r="K8" t="s">
        <v>216</v>
      </c>
      <c r="L8" t="s">
        <v>216</v>
      </c>
      <c r="M8" t="s">
        <v>216</v>
      </c>
      <c r="N8" t="s">
        <v>225</v>
      </c>
      <c r="O8" t="s">
        <v>223</v>
      </c>
      <c r="P8" t="s">
        <v>83</v>
      </c>
      <c r="Q8" t="s">
        <v>226</v>
      </c>
      <c r="R8" t="s">
        <v>83</v>
      </c>
      <c r="S8" t="s">
        <v>83</v>
      </c>
      <c r="T8" t="s">
        <v>157</v>
      </c>
      <c r="U8" t="s">
        <v>76</v>
      </c>
      <c r="V8" t="s">
        <v>210</v>
      </c>
      <c r="X8">
        <v>2</v>
      </c>
      <c r="Y8">
        <v>2</v>
      </c>
      <c r="Z8">
        <v>2</v>
      </c>
      <c r="AA8">
        <v>2</v>
      </c>
      <c r="AB8">
        <v>2</v>
      </c>
      <c r="AC8">
        <v>2</v>
      </c>
      <c r="AD8">
        <v>2</v>
      </c>
      <c r="AE8">
        <v>2</v>
      </c>
      <c r="AF8">
        <v>2</v>
      </c>
      <c r="AG8">
        <v>2</v>
      </c>
      <c r="AH8">
        <v>1</v>
      </c>
      <c r="AI8">
        <v>1</v>
      </c>
      <c r="AJ8">
        <v>0</v>
      </c>
      <c r="AK8">
        <v>0</v>
      </c>
      <c r="AL8">
        <v>22</v>
      </c>
      <c r="AN8" t="s">
        <v>164</v>
      </c>
      <c r="AO8" t="s">
        <v>227</v>
      </c>
      <c r="AP8" t="s">
        <v>81</v>
      </c>
      <c r="AQ8" t="s">
        <v>164</v>
      </c>
      <c r="AR8" t="s">
        <v>227</v>
      </c>
      <c r="AS8" t="s">
        <v>81</v>
      </c>
      <c r="AT8" t="s">
        <v>164</v>
      </c>
      <c r="AU8" t="s">
        <v>227</v>
      </c>
      <c r="AV8" t="s">
        <v>81</v>
      </c>
      <c r="AW8" t="s">
        <v>164</v>
      </c>
      <c r="AX8" t="s">
        <v>227</v>
      </c>
      <c r="AY8" t="s">
        <v>81</v>
      </c>
      <c r="AZ8">
        <v>1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1</v>
      </c>
      <c r="BP8">
        <v>8</v>
      </c>
      <c r="BQ8">
        <v>8</v>
      </c>
      <c r="BR8">
        <v>8</v>
      </c>
      <c r="BS8">
        <v>8</v>
      </c>
      <c r="BT8">
        <v>8</v>
      </c>
      <c r="BU8">
        <v>8</v>
      </c>
      <c r="BV8">
        <v>8</v>
      </c>
      <c r="BW8">
        <v>8</v>
      </c>
      <c r="BX8">
        <v>8</v>
      </c>
      <c r="BY8">
        <v>8</v>
      </c>
      <c r="BZ8">
        <v>80</v>
      </c>
      <c r="CA8" t="s">
        <v>228</v>
      </c>
    </row>
    <row r="9" spans="1:79" x14ac:dyDescent="0.3">
      <c r="A9" t="s">
        <v>252</v>
      </c>
      <c r="B9" t="s">
        <v>204</v>
      </c>
      <c r="C9">
        <v>41</v>
      </c>
      <c r="D9" t="s">
        <v>72</v>
      </c>
      <c r="E9" t="s">
        <v>73</v>
      </c>
      <c r="F9" t="s">
        <v>214</v>
      </c>
      <c r="H9">
        <v>20</v>
      </c>
      <c r="I9" t="s">
        <v>205</v>
      </c>
      <c r="J9">
        <v>8</v>
      </c>
      <c r="K9" t="s">
        <v>206</v>
      </c>
      <c r="L9" t="s">
        <v>216</v>
      </c>
      <c r="M9" t="s">
        <v>216</v>
      </c>
      <c r="N9" t="s">
        <v>225</v>
      </c>
      <c r="O9" t="s">
        <v>219</v>
      </c>
      <c r="P9" t="s">
        <v>83</v>
      </c>
      <c r="Q9" t="s">
        <v>217</v>
      </c>
      <c r="R9" t="s">
        <v>83</v>
      </c>
      <c r="S9" t="s">
        <v>157</v>
      </c>
      <c r="T9" t="s">
        <v>209</v>
      </c>
      <c r="U9" t="s">
        <v>76</v>
      </c>
      <c r="V9" t="s">
        <v>210</v>
      </c>
      <c r="X9">
        <v>3</v>
      </c>
      <c r="Y9">
        <v>3</v>
      </c>
      <c r="Z9">
        <v>3</v>
      </c>
      <c r="AA9">
        <v>4</v>
      </c>
      <c r="AB9">
        <v>4</v>
      </c>
      <c r="AC9">
        <v>3</v>
      </c>
      <c r="AD9">
        <v>3</v>
      </c>
      <c r="AE9">
        <v>3</v>
      </c>
      <c r="AF9">
        <v>4</v>
      </c>
      <c r="AG9">
        <v>4</v>
      </c>
      <c r="AH9">
        <v>3</v>
      </c>
      <c r="AI9">
        <v>3</v>
      </c>
      <c r="AJ9">
        <v>4</v>
      </c>
      <c r="AK9">
        <v>4</v>
      </c>
      <c r="AL9">
        <v>48</v>
      </c>
      <c r="AN9">
        <v>30</v>
      </c>
      <c r="AO9" t="s">
        <v>211</v>
      </c>
      <c r="AP9" t="s">
        <v>79</v>
      </c>
      <c r="AQ9">
        <v>30</v>
      </c>
      <c r="AR9" t="s">
        <v>211</v>
      </c>
      <c r="AS9" t="s">
        <v>79</v>
      </c>
      <c r="AT9">
        <v>30</v>
      </c>
      <c r="AU9" t="s">
        <v>211</v>
      </c>
      <c r="AV9" t="s">
        <v>79</v>
      </c>
      <c r="AW9">
        <v>30</v>
      </c>
      <c r="AX9" t="s">
        <v>211</v>
      </c>
      <c r="AY9" t="s">
        <v>79</v>
      </c>
      <c r="AZ9">
        <v>2</v>
      </c>
      <c r="BA9">
        <v>1</v>
      </c>
      <c r="BB9">
        <v>1</v>
      </c>
      <c r="BC9">
        <v>2</v>
      </c>
      <c r="BD9">
        <v>2</v>
      </c>
      <c r="BE9">
        <v>2</v>
      </c>
      <c r="BF9">
        <v>1</v>
      </c>
      <c r="BG9">
        <v>1</v>
      </c>
      <c r="BH9">
        <v>1</v>
      </c>
      <c r="BI9">
        <v>2</v>
      </c>
      <c r="BJ9">
        <v>2</v>
      </c>
      <c r="BK9">
        <v>2</v>
      </c>
      <c r="BL9">
        <v>2</v>
      </c>
      <c r="BM9">
        <v>2</v>
      </c>
      <c r="BN9">
        <v>23</v>
      </c>
      <c r="BP9">
        <v>1</v>
      </c>
      <c r="BQ9">
        <v>2</v>
      </c>
      <c r="BR9">
        <v>2</v>
      </c>
      <c r="BS9">
        <v>2</v>
      </c>
      <c r="BT9">
        <v>2</v>
      </c>
      <c r="BU9">
        <v>2</v>
      </c>
      <c r="BV9">
        <v>2</v>
      </c>
      <c r="BW9">
        <v>2</v>
      </c>
      <c r="BX9">
        <v>2</v>
      </c>
      <c r="BY9">
        <v>2</v>
      </c>
      <c r="BZ9">
        <v>19</v>
      </c>
    </row>
    <row r="10" spans="1:79" x14ac:dyDescent="0.3">
      <c r="A10" t="s">
        <v>253</v>
      </c>
      <c r="B10" t="s">
        <v>204</v>
      </c>
      <c r="C10">
        <v>44</v>
      </c>
      <c r="D10" t="s">
        <v>72</v>
      </c>
      <c r="E10" t="s">
        <v>73</v>
      </c>
      <c r="F10" t="s">
        <v>214</v>
      </c>
      <c r="H10">
        <v>24</v>
      </c>
      <c r="I10" t="s">
        <v>222</v>
      </c>
      <c r="J10">
        <v>8</v>
      </c>
      <c r="K10" t="s">
        <v>216</v>
      </c>
      <c r="L10" t="s">
        <v>216</v>
      </c>
      <c r="M10" t="s">
        <v>216</v>
      </c>
      <c r="N10" t="s">
        <v>207</v>
      </c>
      <c r="O10" t="s">
        <v>83</v>
      </c>
      <c r="P10" t="s">
        <v>83</v>
      </c>
      <c r="Q10" t="s">
        <v>229</v>
      </c>
      <c r="R10" t="s">
        <v>83</v>
      </c>
      <c r="S10" t="s">
        <v>157</v>
      </c>
      <c r="T10" t="s">
        <v>157</v>
      </c>
      <c r="U10" t="s">
        <v>96</v>
      </c>
      <c r="V10" t="s">
        <v>210</v>
      </c>
      <c r="X10">
        <v>4</v>
      </c>
      <c r="Y10">
        <v>4</v>
      </c>
      <c r="Z10">
        <v>4</v>
      </c>
      <c r="AA10">
        <v>4</v>
      </c>
      <c r="AB10">
        <v>4</v>
      </c>
      <c r="AC10">
        <v>4</v>
      </c>
      <c r="AD10">
        <v>3</v>
      </c>
      <c r="AE10">
        <v>4</v>
      </c>
      <c r="AF10">
        <v>4</v>
      </c>
      <c r="AG10">
        <v>4</v>
      </c>
      <c r="AH10">
        <v>4</v>
      </c>
      <c r="AI10">
        <v>3</v>
      </c>
      <c r="AJ10">
        <v>3</v>
      </c>
      <c r="AK10">
        <v>4</v>
      </c>
      <c r="AL10">
        <v>53</v>
      </c>
      <c r="AN10">
        <v>30</v>
      </c>
      <c r="AO10" t="s">
        <v>211</v>
      </c>
      <c r="AP10" t="s">
        <v>79</v>
      </c>
      <c r="AQ10">
        <v>30</v>
      </c>
      <c r="AR10" t="s">
        <v>211</v>
      </c>
      <c r="AS10" t="s">
        <v>79</v>
      </c>
      <c r="AT10">
        <v>30</v>
      </c>
      <c r="AU10" t="s">
        <v>211</v>
      </c>
      <c r="AV10" t="s">
        <v>79</v>
      </c>
      <c r="AW10">
        <v>30</v>
      </c>
      <c r="AX10" t="s">
        <v>211</v>
      </c>
      <c r="AY10" t="s">
        <v>79</v>
      </c>
      <c r="AZ10">
        <v>2</v>
      </c>
      <c r="BA10">
        <v>1</v>
      </c>
      <c r="BB10">
        <v>1</v>
      </c>
      <c r="BC10">
        <v>2</v>
      </c>
      <c r="BD10">
        <v>2</v>
      </c>
      <c r="BE10">
        <v>2</v>
      </c>
      <c r="BF10">
        <v>2</v>
      </c>
      <c r="BG10">
        <v>1</v>
      </c>
      <c r="BH10">
        <v>2</v>
      </c>
      <c r="BI10">
        <v>2</v>
      </c>
      <c r="BJ10">
        <v>2</v>
      </c>
      <c r="BK10">
        <v>2</v>
      </c>
      <c r="BL10">
        <v>2</v>
      </c>
      <c r="BM10">
        <v>2</v>
      </c>
      <c r="BN10">
        <v>25</v>
      </c>
      <c r="BP10">
        <v>3</v>
      </c>
      <c r="BQ10">
        <v>3</v>
      </c>
      <c r="BR10">
        <v>2</v>
      </c>
      <c r="BS10">
        <v>4</v>
      </c>
      <c r="BT10">
        <v>2</v>
      </c>
      <c r="BU10">
        <v>3</v>
      </c>
      <c r="BV10">
        <v>2</v>
      </c>
      <c r="BW10">
        <v>2</v>
      </c>
      <c r="BX10">
        <v>2</v>
      </c>
      <c r="BY10">
        <v>2</v>
      </c>
      <c r="BZ10">
        <v>25</v>
      </c>
    </row>
    <row r="11" spans="1:79" x14ac:dyDescent="0.3">
      <c r="A11" t="s">
        <v>254</v>
      </c>
      <c r="B11" t="s">
        <v>204</v>
      </c>
      <c r="C11">
        <v>44</v>
      </c>
      <c r="D11" t="s">
        <v>72</v>
      </c>
      <c r="E11" t="s">
        <v>73</v>
      </c>
      <c r="F11" t="s">
        <v>214</v>
      </c>
      <c r="G11" t="s">
        <v>79</v>
      </c>
      <c r="H11">
        <v>32</v>
      </c>
      <c r="I11" t="s">
        <v>222</v>
      </c>
      <c r="J11">
        <v>12</v>
      </c>
      <c r="K11" t="s">
        <v>216</v>
      </c>
      <c r="L11" t="s">
        <v>216</v>
      </c>
      <c r="M11" t="s">
        <v>216</v>
      </c>
      <c r="N11" t="s">
        <v>207</v>
      </c>
      <c r="O11" t="s">
        <v>223</v>
      </c>
      <c r="P11" t="s">
        <v>224</v>
      </c>
      <c r="Q11" t="s">
        <v>217</v>
      </c>
      <c r="R11" t="s">
        <v>83</v>
      </c>
      <c r="S11" t="s">
        <v>157</v>
      </c>
      <c r="T11" t="s">
        <v>209</v>
      </c>
      <c r="U11" t="s">
        <v>76</v>
      </c>
      <c r="V11" t="s">
        <v>210</v>
      </c>
      <c r="X11">
        <v>3</v>
      </c>
      <c r="Y11">
        <v>3</v>
      </c>
      <c r="Z11">
        <v>3</v>
      </c>
      <c r="AA11">
        <v>3</v>
      </c>
      <c r="AB11">
        <v>4</v>
      </c>
      <c r="AC11">
        <v>3</v>
      </c>
      <c r="AD11">
        <v>3</v>
      </c>
      <c r="AE11">
        <v>4</v>
      </c>
      <c r="AF11">
        <v>4</v>
      </c>
      <c r="AG11">
        <v>4</v>
      </c>
      <c r="AH11">
        <v>4</v>
      </c>
      <c r="AI11">
        <v>4</v>
      </c>
      <c r="AJ11">
        <v>4</v>
      </c>
      <c r="AK11">
        <v>2</v>
      </c>
      <c r="AL11">
        <v>48</v>
      </c>
      <c r="AN11">
        <v>30</v>
      </c>
      <c r="AO11" t="s">
        <v>213</v>
      </c>
      <c r="AP11" t="s">
        <v>79</v>
      </c>
      <c r="AQ11">
        <v>30</v>
      </c>
      <c r="AR11" t="s">
        <v>213</v>
      </c>
      <c r="AS11" t="s">
        <v>81</v>
      </c>
      <c r="AT11">
        <v>30</v>
      </c>
      <c r="AU11" t="s">
        <v>213</v>
      </c>
      <c r="AV11" t="s">
        <v>79</v>
      </c>
      <c r="AW11">
        <v>30</v>
      </c>
      <c r="AX11" t="s">
        <v>213</v>
      </c>
      <c r="AY11" t="s">
        <v>79</v>
      </c>
      <c r="AZ11">
        <v>2</v>
      </c>
      <c r="BA11">
        <v>0</v>
      </c>
      <c r="BB11">
        <v>0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13</v>
      </c>
      <c r="BP11">
        <v>6</v>
      </c>
      <c r="BQ11">
        <v>6</v>
      </c>
      <c r="BR11">
        <v>6</v>
      </c>
      <c r="BS11">
        <v>6</v>
      </c>
      <c r="BT11">
        <v>6</v>
      </c>
      <c r="BU11">
        <v>6</v>
      </c>
      <c r="BV11">
        <v>6</v>
      </c>
      <c r="BW11">
        <v>6</v>
      </c>
      <c r="BX11">
        <v>6</v>
      </c>
      <c r="BY11">
        <v>6</v>
      </c>
      <c r="BZ11">
        <v>60</v>
      </c>
    </row>
    <row r="12" spans="1:79" x14ac:dyDescent="0.3">
      <c r="A12" t="s">
        <v>255</v>
      </c>
      <c r="B12" t="s">
        <v>204</v>
      </c>
      <c r="C12">
        <v>47</v>
      </c>
      <c r="D12" t="s">
        <v>72</v>
      </c>
      <c r="E12" t="s">
        <v>73</v>
      </c>
      <c r="F12" t="s">
        <v>230</v>
      </c>
      <c r="H12">
        <v>20</v>
      </c>
      <c r="I12" t="s">
        <v>205</v>
      </c>
      <c r="J12">
        <v>7</v>
      </c>
      <c r="K12" t="s">
        <v>212</v>
      </c>
      <c r="L12" t="s">
        <v>212</v>
      </c>
      <c r="M12" t="s">
        <v>212</v>
      </c>
      <c r="N12" t="s">
        <v>207</v>
      </c>
      <c r="O12" t="s">
        <v>83</v>
      </c>
      <c r="P12" t="s">
        <v>83</v>
      </c>
      <c r="Q12" t="s">
        <v>82</v>
      </c>
      <c r="R12" t="s">
        <v>157</v>
      </c>
      <c r="S12" t="s">
        <v>83</v>
      </c>
      <c r="T12" t="s">
        <v>157</v>
      </c>
      <c r="U12" t="s">
        <v>96</v>
      </c>
      <c r="V12" t="s">
        <v>210</v>
      </c>
      <c r="W12" t="s">
        <v>231</v>
      </c>
      <c r="X12">
        <v>4</v>
      </c>
      <c r="Y12">
        <v>4</v>
      </c>
      <c r="Z12">
        <v>4</v>
      </c>
      <c r="AA12">
        <v>3</v>
      </c>
      <c r="AB12">
        <v>4</v>
      </c>
      <c r="AC12">
        <v>4</v>
      </c>
      <c r="AD12">
        <v>4</v>
      </c>
      <c r="AE12">
        <v>4</v>
      </c>
      <c r="AF12">
        <v>4</v>
      </c>
      <c r="AG12">
        <v>3</v>
      </c>
      <c r="AH12">
        <v>3</v>
      </c>
      <c r="AI12">
        <v>4</v>
      </c>
      <c r="AJ12">
        <v>3</v>
      </c>
      <c r="AK12">
        <v>3</v>
      </c>
      <c r="AL12">
        <v>51</v>
      </c>
      <c r="AM12" t="s">
        <v>232</v>
      </c>
      <c r="AN12">
        <v>5</v>
      </c>
      <c r="AO12" t="s">
        <v>211</v>
      </c>
      <c r="AP12" t="s">
        <v>79</v>
      </c>
      <c r="AQ12">
        <v>2</v>
      </c>
      <c r="AR12" t="s">
        <v>211</v>
      </c>
      <c r="AS12" t="s">
        <v>79</v>
      </c>
      <c r="AT12">
        <v>1</v>
      </c>
      <c r="AU12" t="s">
        <v>213</v>
      </c>
      <c r="AV12" t="s">
        <v>81</v>
      </c>
      <c r="AW12">
        <v>1</v>
      </c>
      <c r="AX12" t="s">
        <v>213</v>
      </c>
      <c r="AY12" t="s">
        <v>81</v>
      </c>
      <c r="AZ12">
        <v>2</v>
      </c>
      <c r="BA12">
        <v>2</v>
      </c>
      <c r="BB12">
        <v>2</v>
      </c>
      <c r="BC12">
        <v>1</v>
      </c>
      <c r="BD12">
        <v>1</v>
      </c>
      <c r="BE12">
        <v>2</v>
      </c>
      <c r="BF12">
        <v>2</v>
      </c>
      <c r="BG12">
        <v>2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20</v>
      </c>
      <c r="BO12" t="s">
        <v>232</v>
      </c>
      <c r="BP12">
        <v>1</v>
      </c>
      <c r="BQ12">
        <v>1</v>
      </c>
      <c r="BR12">
        <v>1</v>
      </c>
      <c r="BS12">
        <v>2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11</v>
      </c>
      <c r="CA12" t="s">
        <v>232</v>
      </c>
    </row>
    <row r="13" spans="1:79" x14ac:dyDescent="0.3">
      <c r="A13" t="s">
        <v>256</v>
      </c>
      <c r="B13" t="s">
        <v>204</v>
      </c>
      <c r="C13">
        <v>28</v>
      </c>
      <c r="D13" t="s">
        <v>72</v>
      </c>
      <c r="E13" t="s">
        <v>73</v>
      </c>
      <c r="F13" t="s">
        <v>230</v>
      </c>
      <c r="G13" t="s">
        <v>79</v>
      </c>
      <c r="H13">
        <v>9</v>
      </c>
      <c r="I13" t="s">
        <v>222</v>
      </c>
      <c r="J13">
        <v>10</v>
      </c>
      <c r="K13" t="s">
        <v>82</v>
      </c>
      <c r="L13" t="s">
        <v>206</v>
      </c>
      <c r="M13" t="s">
        <v>82</v>
      </c>
      <c r="N13" t="s">
        <v>218</v>
      </c>
      <c r="O13" t="s">
        <v>223</v>
      </c>
      <c r="P13" t="s">
        <v>83</v>
      </c>
      <c r="Q13" t="s">
        <v>91</v>
      </c>
      <c r="R13" t="s">
        <v>83</v>
      </c>
      <c r="S13" t="s">
        <v>83</v>
      </c>
      <c r="T13" t="s">
        <v>83</v>
      </c>
      <c r="U13" t="s">
        <v>96</v>
      </c>
      <c r="V13" t="s">
        <v>210</v>
      </c>
      <c r="W13" t="s">
        <v>124</v>
      </c>
      <c r="X13">
        <v>2</v>
      </c>
      <c r="Y13">
        <v>0</v>
      </c>
      <c r="Z13">
        <v>0</v>
      </c>
      <c r="AA13">
        <v>0</v>
      </c>
      <c r="AB13">
        <v>4</v>
      </c>
      <c r="AC13">
        <v>3</v>
      </c>
      <c r="AD13">
        <v>1</v>
      </c>
      <c r="AE13">
        <v>3</v>
      </c>
      <c r="AF13">
        <v>4</v>
      </c>
      <c r="AG13">
        <v>2</v>
      </c>
      <c r="AH13">
        <v>2</v>
      </c>
      <c r="AI13">
        <v>1</v>
      </c>
      <c r="AJ13">
        <v>1</v>
      </c>
      <c r="AK13">
        <v>1</v>
      </c>
      <c r="AL13">
        <v>24</v>
      </c>
      <c r="AM13" t="s">
        <v>233</v>
      </c>
      <c r="AN13">
        <v>60</v>
      </c>
      <c r="AO13" t="s">
        <v>213</v>
      </c>
      <c r="AP13" t="s">
        <v>81</v>
      </c>
      <c r="AQ13">
        <v>5</v>
      </c>
      <c r="AR13" t="s">
        <v>213</v>
      </c>
      <c r="AS13" t="s">
        <v>79</v>
      </c>
      <c r="AT13">
        <v>5</v>
      </c>
      <c r="AU13" t="s">
        <v>227</v>
      </c>
      <c r="AV13" t="s">
        <v>79</v>
      </c>
      <c r="AW13">
        <v>3</v>
      </c>
      <c r="AX13" t="s">
        <v>227</v>
      </c>
      <c r="AY13" t="s">
        <v>79</v>
      </c>
      <c r="AZ13">
        <v>2</v>
      </c>
      <c r="BA13">
        <v>1</v>
      </c>
      <c r="BB13">
        <v>1</v>
      </c>
      <c r="BC13">
        <v>0</v>
      </c>
      <c r="BD13">
        <v>2</v>
      </c>
      <c r="BE13">
        <v>1</v>
      </c>
      <c r="BF13">
        <v>1</v>
      </c>
      <c r="BG13">
        <v>1</v>
      </c>
      <c r="BH13">
        <v>0</v>
      </c>
      <c r="BI13">
        <v>2</v>
      </c>
      <c r="BJ13">
        <v>2</v>
      </c>
      <c r="BK13">
        <v>1</v>
      </c>
      <c r="BL13">
        <v>1</v>
      </c>
      <c r="BM13">
        <v>2</v>
      </c>
      <c r="BN13">
        <v>17</v>
      </c>
      <c r="BO13" t="s">
        <v>124</v>
      </c>
      <c r="BP13">
        <v>10</v>
      </c>
      <c r="BQ13">
        <v>9</v>
      </c>
      <c r="BR13">
        <v>10</v>
      </c>
      <c r="BS13">
        <v>5</v>
      </c>
      <c r="BT13">
        <v>10</v>
      </c>
      <c r="BU13">
        <v>10</v>
      </c>
      <c r="BV13">
        <v>10</v>
      </c>
      <c r="BW13">
        <v>6</v>
      </c>
      <c r="BX13">
        <v>5</v>
      </c>
      <c r="BY13">
        <v>3</v>
      </c>
      <c r="BZ13">
        <v>78</v>
      </c>
      <c r="CA13" t="s">
        <v>233</v>
      </c>
    </row>
    <row r="14" spans="1:79" x14ac:dyDescent="0.3">
      <c r="A14" t="s">
        <v>257</v>
      </c>
      <c r="B14" t="s">
        <v>204</v>
      </c>
      <c r="C14">
        <v>42</v>
      </c>
      <c r="D14" t="s">
        <v>72</v>
      </c>
      <c r="E14" t="s">
        <v>73</v>
      </c>
      <c r="F14" t="s">
        <v>214</v>
      </c>
      <c r="G14" t="s">
        <v>81</v>
      </c>
      <c r="H14">
        <v>8</v>
      </c>
      <c r="I14" t="s">
        <v>215</v>
      </c>
      <c r="J14">
        <v>8</v>
      </c>
      <c r="K14" t="s">
        <v>212</v>
      </c>
      <c r="L14" t="s">
        <v>212</v>
      </c>
      <c r="M14" t="s">
        <v>216</v>
      </c>
      <c r="N14" t="s">
        <v>225</v>
      </c>
      <c r="O14" t="s">
        <v>223</v>
      </c>
      <c r="P14" t="s">
        <v>83</v>
      </c>
      <c r="Q14" t="s">
        <v>100</v>
      </c>
      <c r="R14" t="s">
        <v>157</v>
      </c>
      <c r="S14" t="s">
        <v>83</v>
      </c>
      <c r="T14" t="s">
        <v>157</v>
      </c>
      <c r="U14" t="s">
        <v>96</v>
      </c>
      <c r="V14" t="s">
        <v>210</v>
      </c>
      <c r="W14" t="s">
        <v>232</v>
      </c>
      <c r="X14">
        <v>3</v>
      </c>
      <c r="Y14">
        <v>3</v>
      </c>
      <c r="Z14">
        <v>3</v>
      </c>
      <c r="AA14">
        <v>3</v>
      </c>
      <c r="AB14">
        <v>3</v>
      </c>
      <c r="AC14">
        <v>3</v>
      </c>
      <c r="AD14">
        <v>3</v>
      </c>
      <c r="AE14">
        <v>3</v>
      </c>
      <c r="AF14">
        <v>3</v>
      </c>
      <c r="AG14">
        <v>3</v>
      </c>
      <c r="AH14">
        <v>3</v>
      </c>
      <c r="AI14">
        <v>3</v>
      </c>
      <c r="AJ14">
        <v>3</v>
      </c>
      <c r="AK14">
        <v>2</v>
      </c>
      <c r="AL14">
        <v>41</v>
      </c>
      <c r="AM14" t="s">
        <v>234</v>
      </c>
      <c r="AN14">
        <v>2</v>
      </c>
      <c r="AO14" t="s">
        <v>211</v>
      </c>
      <c r="AP14" t="s">
        <v>79</v>
      </c>
      <c r="AQ14">
        <v>2</v>
      </c>
      <c r="AR14" t="s">
        <v>213</v>
      </c>
      <c r="AS14" t="s">
        <v>81</v>
      </c>
      <c r="AT14">
        <v>1</v>
      </c>
      <c r="AU14" t="s">
        <v>211</v>
      </c>
      <c r="AV14" t="s">
        <v>79</v>
      </c>
      <c r="AW14">
        <v>1</v>
      </c>
      <c r="AX14" t="s">
        <v>211</v>
      </c>
      <c r="AY14" t="s">
        <v>81</v>
      </c>
      <c r="AZ14">
        <v>1</v>
      </c>
      <c r="BA14">
        <v>1</v>
      </c>
      <c r="BB14">
        <v>1</v>
      </c>
      <c r="BC14">
        <v>2</v>
      </c>
      <c r="BD14">
        <v>1</v>
      </c>
      <c r="BE14">
        <v>1</v>
      </c>
      <c r="BF14">
        <v>2</v>
      </c>
      <c r="BG14">
        <v>1</v>
      </c>
      <c r="BH14">
        <v>1</v>
      </c>
      <c r="BI14">
        <v>1</v>
      </c>
      <c r="BJ14">
        <v>2</v>
      </c>
      <c r="BK14">
        <v>2</v>
      </c>
      <c r="BL14">
        <v>1</v>
      </c>
      <c r="BM14">
        <v>1</v>
      </c>
      <c r="BN14">
        <v>18</v>
      </c>
      <c r="BP14">
        <v>1</v>
      </c>
      <c r="BQ14">
        <v>2</v>
      </c>
      <c r="BR14">
        <v>1</v>
      </c>
      <c r="BS14">
        <v>1</v>
      </c>
      <c r="BT14">
        <v>2</v>
      </c>
      <c r="BU14">
        <v>2</v>
      </c>
      <c r="BV14">
        <v>3</v>
      </c>
      <c r="BW14">
        <v>1</v>
      </c>
      <c r="BX14">
        <v>1</v>
      </c>
      <c r="BY14">
        <v>2</v>
      </c>
      <c r="BZ14">
        <v>16</v>
      </c>
    </row>
    <row r="15" spans="1:79" x14ac:dyDescent="0.3">
      <c r="A15" t="s">
        <v>258</v>
      </c>
      <c r="B15" t="s">
        <v>204</v>
      </c>
      <c r="C15">
        <v>39</v>
      </c>
      <c r="D15" t="s">
        <v>72</v>
      </c>
      <c r="E15" t="s">
        <v>73</v>
      </c>
      <c r="F15" t="s">
        <v>230</v>
      </c>
      <c r="G15" t="s">
        <v>79</v>
      </c>
      <c r="H15">
        <v>9</v>
      </c>
      <c r="I15" t="s">
        <v>215</v>
      </c>
      <c r="J15">
        <v>6</v>
      </c>
      <c r="K15" t="s">
        <v>216</v>
      </c>
      <c r="L15" t="s">
        <v>216</v>
      </c>
      <c r="M15" t="s">
        <v>216</v>
      </c>
      <c r="N15" t="s">
        <v>225</v>
      </c>
      <c r="O15" t="s">
        <v>223</v>
      </c>
      <c r="P15" t="s">
        <v>83</v>
      </c>
      <c r="Q15" t="s">
        <v>235</v>
      </c>
      <c r="R15" t="s">
        <v>157</v>
      </c>
      <c r="S15" t="s">
        <v>157</v>
      </c>
      <c r="T15" t="s">
        <v>157</v>
      </c>
      <c r="U15" t="s">
        <v>76</v>
      </c>
      <c r="V15" t="s">
        <v>210</v>
      </c>
      <c r="W15" t="s">
        <v>232</v>
      </c>
      <c r="X15">
        <v>4</v>
      </c>
      <c r="Y15">
        <v>4</v>
      </c>
      <c r="Z15">
        <v>4</v>
      </c>
      <c r="AA15">
        <v>3</v>
      </c>
      <c r="AB15">
        <v>4</v>
      </c>
      <c r="AC15">
        <v>3</v>
      </c>
      <c r="AD15">
        <v>3</v>
      </c>
      <c r="AE15">
        <v>3</v>
      </c>
      <c r="AF15">
        <v>3</v>
      </c>
      <c r="AG15">
        <v>4</v>
      </c>
      <c r="AH15">
        <v>4</v>
      </c>
      <c r="AI15">
        <v>3</v>
      </c>
      <c r="AJ15">
        <v>3</v>
      </c>
      <c r="AK15">
        <v>3</v>
      </c>
      <c r="AL15">
        <v>48</v>
      </c>
      <c r="AN15">
        <v>2</v>
      </c>
      <c r="AO15" t="s">
        <v>211</v>
      </c>
      <c r="AP15" t="s">
        <v>81</v>
      </c>
      <c r="AQ15">
        <v>1</v>
      </c>
      <c r="AR15" t="s">
        <v>213</v>
      </c>
      <c r="AS15" t="s">
        <v>79</v>
      </c>
      <c r="AT15">
        <v>1</v>
      </c>
      <c r="AU15" t="s">
        <v>213</v>
      </c>
      <c r="AV15" t="s">
        <v>81</v>
      </c>
      <c r="AW15">
        <v>1</v>
      </c>
      <c r="AX15" t="s">
        <v>213</v>
      </c>
      <c r="AY15" t="s">
        <v>81</v>
      </c>
      <c r="AZ15">
        <v>2</v>
      </c>
      <c r="BA15">
        <v>2</v>
      </c>
      <c r="BB15">
        <v>1</v>
      </c>
      <c r="BC15">
        <v>1</v>
      </c>
      <c r="BD15">
        <v>1</v>
      </c>
      <c r="BE15">
        <v>1</v>
      </c>
      <c r="BF15">
        <v>2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17</v>
      </c>
      <c r="BP15">
        <v>1</v>
      </c>
      <c r="BQ15">
        <v>2</v>
      </c>
      <c r="BR15">
        <v>2</v>
      </c>
      <c r="BS15">
        <v>2</v>
      </c>
      <c r="BT15">
        <v>3</v>
      </c>
      <c r="BU15">
        <v>1</v>
      </c>
      <c r="BV15">
        <v>3</v>
      </c>
      <c r="BW15">
        <v>2</v>
      </c>
      <c r="BX15">
        <v>1</v>
      </c>
      <c r="BY15">
        <v>3</v>
      </c>
      <c r="BZ15">
        <v>20</v>
      </c>
    </row>
    <row r="16" spans="1:79" x14ac:dyDescent="0.3">
      <c r="A16" t="s">
        <v>259</v>
      </c>
      <c r="B16" t="s">
        <v>204</v>
      </c>
      <c r="C16">
        <v>33</v>
      </c>
      <c r="D16" t="s">
        <v>72</v>
      </c>
      <c r="E16" t="s">
        <v>236</v>
      </c>
      <c r="F16" t="s">
        <v>230</v>
      </c>
      <c r="G16" t="s">
        <v>79</v>
      </c>
      <c r="H16">
        <v>11</v>
      </c>
      <c r="I16" t="s">
        <v>215</v>
      </c>
      <c r="J16">
        <v>4</v>
      </c>
      <c r="K16" t="s">
        <v>206</v>
      </c>
      <c r="L16" t="s">
        <v>206</v>
      </c>
      <c r="M16" t="s">
        <v>206</v>
      </c>
      <c r="N16" t="s">
        <v>225</v>
      </c>
      <c r="O16" t="s">
        <v>219</v>
      </c>
      <c r="P16" t="s">
        <v>83</v>
      </c>
      <c r="Q16" t="s">
        <v>237</v>
      </c>
      <c r="R16" t="s">
        <v>157</v>
      </c>
      <c r="S16" t="s">
        <v>157</v>
      </c>
      <c r="T16" t="s">
        <v>157</v>
      </c>
      <c r="U16" t="s">
        <v>76</v>
      </c>
      <c r="V16" t="s">
        <v>238</v>
      </c>
      <c r="X16">
        <v>4</v>
      </c>
      <c r="Y16">
        <v>4</v>
      </c>
      <c r="Z16">
        <v>4</v>
      </c>
      <c r="AA16">
        <v>4</v>
      </c>
      <c r="AB16">
        <v>4</v>
      </c>
      <c r="AC16">
        <v>3</v>
      </c>
      <c r="AD16">
        <v>4</v>
      </c>
      <c r="AE16">
        <v>4</v>
      </c>
      <c r="AF16">
        <v>3</v>
      </c>
      <c r="AG16">
        <v>4</v>
      </c>
      <c r="AH16">
        <v>4</v>
      </c>
      <c r="AI16">
        <v>4</v>
      </c>
      <c r="AJ16">
        <v>4</v>
      </c>
      <c r="AK16">
        <v>3</v>
      </c>
      <c r="AL16">
        <v>53</v>
      </c>
      <c r="AN16">
        <v>3</v>
      </c>
      <c r="AO16" t="s">
        <v>211</v>
      </c>
      <c r="AP16" t="s">
        <v>79</v>
      </c>
      <c r="AQ16">
        <v>2</v>
      </c>
      <c r="AR16" t="s">
        <v>211</v>
      </c>
      <c r="AS16" t="s">
        <v>81</v>
      </c>
      <c r="AT16">
        <v>3</v>
      </c>
      <c r="AU16" t="s">
        <v>211</v>
      </c>
      <c r="AV16" t="s">
        <v>79</v>
      </c>
      <c r="AW16">
        <v>1</v>
      </c>
      <c r="AX16" t="s">
        <v>211</v>
      </c>
      <c r="AY16" t="s">
        <v>81</v>
      </c>
      <c r="AZ16">
        <v>2</v>
      </c>
      <c r="BA16">
        <v>2</v>
      </c>
      <c r="BB16">
        <v>1</v>
      </c>
      <c r="BC16">
        <v>1</v>
      </c>
      <c r="BD16">
        <v>1</v>
      </c>
      <c r="BE16">
        <v>1</v>
      </c>
      <c r="BF16">
        <v>2</v>
      </c>
      <c r="BG16">
        <v>1</v>
      </c>
      <c r="BH16">
        <v>1</v>
      </c>
      <c r="BI16">
        <v>1</v>
      </c>
      <c r="BJ16">
        <v>2</v>
      </c>
      <c r="BK16">
        <v>2</v>
      </c>
      <c r="BL16">
        <v>1</v>
      </c>
      <c r="BM16">
        <v>1</v>
      </c>
      <c r="BN16">
        <v>19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2</v>
      </c>
      <c r="BW16">
        <v>1</v>
      </c>
      <c r="BX16">
        <v>1</v>
      </c>
      <c r="BY16">
        <v>2</v>
      </c>
      <c r="BZ16">
        <v>12</v>
      </c>
    </row>
    <row r="17" spans="1:78" x14ac:dyDescent="0.3">
      <c r="A17" t="s">
        <v>260</v>
      </c>
      <c r="B17" t="s">
        <v>204</v>
      </c>
      <c r="C17">
        <v>39</v>
      </c>
      <c r="D17" t="s">
        <v>72</v>
      </c>
      <c r="E17" t="s">
        <v>73</v>
      </c>
      <c r="F17" t="s">
        <v>230</v>
      </c>
      <c r="H17">
        <v>10</v>
      </c>
      <c r="I17" t="s">
        <v>215</v>
      </c>
      <c r="J17">
        <v>6</v>
      </c>
      <c r="K17" t="s">
        <v>216</v>
      </c>
      <c r="L17" t="s">
        <v>216</v>
      </c>
      <c r="M17" t="s">
        <v>216</v>
      </c>
      <c r="N17" t="s">
        <v>225</v>
      </c>
      <c r="O17" t="s">
        <v>223</v>
      </c>
      <c r="P17" t="s">
        <v>83</v>
      </c>
      <c r="Q17" t="s">
        <v>235</v>
      </c>
      <c r="R17" t="s">
        <v>157</v>
      </c>
      <c r="S17" t="s">
        <v>157</v>
      </c>
      <c r="T17" t="s">
        <v>157</v>
      </c>
      <c r="U17" t="s">
        <v>76</v>
      </c>
      <c r="V17" t="s">
        <v>210</v>
      </c>
      <c r="W17" t="s">
        <v>232</v>
      </c>
      <c r="X17">
        <v>4</v>
      </c>
      <c r="Y17">
        <v>4</v>
      </c>
      <c r="Z17">
        <v>4</v>
      </c>
      <c r="AA17">
        <v>3</v>
      </c>
      <c r="AB17">
        <v>4</v>
      </c>
      <c r="AC17">
        <v>3</v>
      </c>
      <c r="AD17">
        <v>3</v>
      </c>
      <c r="AE17">
        <v>3</v>
      </c>
      <c r="AF17">
        <v>3</v>
      </c>
      <c r="AG17">
        <v>4</v>
      </c>
      <c r="AH17">
        <v>4</v>
      </c>
      <c r="AI17">
        <v>3</v>
      </c>
      <c r="AJ17">
        <v>3</v>
      </c>
      <c r="AK17">
        <v>3</v>
      </c>
      <c r="AL17">
        <v>48</v>
      </c>
      <c r="AN17">
        <v>2</v>
      </c>
      <c r="AO17" t="s">
        <v>211</v>
      </c>
      <c r="AP17" t="s">
        <v>81</v>
      </c>
      <c r="AQ17">
        <v>1</v>
      </c>
      <c r="AR17" t="s">
        <v>213</v>
      </c>
      <c r="AS17" t="s">
        <v>79</v>
      </c>
      <c r="AT17">
        <v>1</v>
      </c>
      <c r="AU17" t="s">
        <v>213</v>
      </c>
      <c r="AV17" t="s">
        <v>81</v>
      </c>
      <c r="AW17">
        <v>1</v>
      </c>
      <c r="AX17" t="s">
        <v>213</v>
      </c>
      <c r="AY17" t="s">
        <v>81</v>
      </c>
      <c r="AZ17">
        <v>2</v>
      </c>
      <c r="BA17">
        <v>2</v>
      </c>
      <c r="BB17">
        <v>1</v>
      </c>
      <c r="BC17">
        <v>1</v>
      </c>
      <c r="BD17">
        <v>1</v>
      </c>
      <c r="BE17">
        <v>1</v>
      </c>
      <c r="BF17">
        <v>2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17</v>
      </c>
      <c r="BP17">
        <v>1</v>
      </c>
      <c r="BQ17">
        <v>2</v>
      </c>
      <c r="BR17">
        <v>2</v>
      </c>
      <c r="BS17">
        <v>2</v>
      </c>
      <c r="BT17">
        <v>3</v>
      </c>
      <c r="BU17">
        <v>1</v>
      </c>
      <c r="BV17">
        <v>3</v>
      </c>
      <c r="BW17">
        <v>2</v>
      </c>
      <c r="BX17">
        <v>1</v>
      </c>
      <c r="BY17">
        <v>3</v>
      </c>
      <c r="BZ17">
        <v>20</v>
      </c>
    </row>
    <row r="18" spans="1:78" x14ac:dyDescent="0.3">
      <c r="C18" s="15">
        <f>AVERAGE(C2:C17)</f>
        <v>41.8125</v>
      </c>
    </row>
    <row r="19" spans="1:78" x14ac:dyDescent="0.3">
      <c r="C19">
        <f>STDEV(C2:C17)</f>
        <v>6.2739540961023934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7DE59-C6DA-4DE6-8F93-3E17D9C68F3A}">
  <dimension ref="A1:BZ10"/>
  <sheetViews>
    <sheetView workbookViewId="0">
      <selection activeCell="C15" sqref="C15"/>
    </sheetView>
  </sheetViews>
  <sheetFormatPr defaultRowHeight="14.4" x14ac:dyDescent="0.3"/>
  <sheetData>
    <row r="1" spans="1:78" x14ac:dyDescent="0.3">
      <c r="A1" t="s">
        <v>261</v>
      </c>
      <c r="B1" t="s">
        <v>239</v>
      </c>
      <c r="C1">
        <v>39</v>
      </c>
      <c r="D1" t="s">
        <v>72</v>
      </c>
      <c r="E1" t="s">
        <v>73</v>
      </c>
      <c r="F1" t="s">
        <v>86</v>
      </c>
      <c r="G1" t="s">
        <v>79</v>
      </c>
      <c r="H1">
        <v>15</v>
      </c>
      <c r="N1" t="s">
        <v>207</v>
      </c>
      <c r="O1" t="s">
        <v>83</v>
      </c>
      <c r="P1" t="s">
        <v>83</v>
      </c>
      <c r="Q1" t="s">
        <v>82</v>
      </c>
      <c r="U1" t="s">
        <v>96</v>
      </c>
      <c r="V1" t="s">
        <v>210</v>
      </c>
      <c r="X1">
        <v>4</v>
      </c>
      <c r="Y1">
        <v>4</v>
      </c>
      <c r="Z1">
        <v>4</v>
      </c>
      <c r="AA1">
        <v>4</v>
      </c>
      <c r="AB1">
        <v>4</v>
      </c>
      <c r="AC1">
        <v>4</v>
      </c>
      <c r="AD1">
        <v>4</v>
      </c>
      <c r="AE1">
        <v>4</v>
      </c>
      <c r="AF1">
        <v>4</v>
      </c>
      <c r="AG1">
        <v>3</v>
      </c>
      <c r="AH1">
        <v>4</v>
      </c>
      <c r="AI1">
        <v>4</v>
      </c>
      <c r="AJ1">
        <v>4</v>
      </c>
      <c r="AK1">
        <v>4</v>
      </c>
      <c r="AL1">
        <v>55</v>
      </c>
      <c r="AN1">
        <v>30</v>
      </c>
      <c r="AO1" t="s">
        <v>211</v>
      </c>
      <c r="AP1" t="s">
        <v>79</v>
      </c>
      <c r="AQ1">
        <v>30</v>
      </c>
      <c r="AR1" t="s">
        <v>211</v>
      </c>
      <c r="AS1" t="s">
        <v>79</v>
      </c>
      <c r="AT1">
        <v>30</v>
      </c>
      <c r="AU1" t="s">
        <v>211</v>
      </c>
      <c r="AV1" t="s">
        <v>79</v>
      </c>
      <c r="AW1">
        <v>30</v>
      </c>
      <c r="AX1" t="s">
        <v>211</v>
      </c>
      <c r="AY1" t="s">
        <v>79</v>
      </c>
      <c r="AZ1">
        <v>2</v>
      </c>
      <c r="BA1">
        <v>2</v>
      </c>
      <c r="BB1">
        <v>2</v>
      </c>
      <c r="BC1">
        <v>2</v>
      </c>
      <c r="BD1">
        <v>2</v>
      </c>
      <c r="BE1">
        <v>2</v>
      </c>
      <c r="BF1">
        <v>2</v>
      </c>
      <c r="BG1">
        <v>2</v>
      </c>
      <c r="BH1">
        <v>1</v>
      </c>
      <c r="BI1">
        <v>2</v>
      </c>
      <c r="BJ1">
        <v>2</v>
      </c>
      <c r="BK1">
        <v>2</v>
      </c>
      <c r="BL1">
        <v>2</v>
      </c>
      <c r="BM1">
        <v>2</v>
      </c>
      <c r="BN1">
        <v>27</v>
      </c>
      <c r="BP1">
        <v>1</v>
      </c>
      <c r="BQ1">
        <v>1</v>
      </c>
      <c r="BR1">
        <v>1</v>
      </c>
      <c r="BS1">
        <v>1</v>
      </c>
      <c r="BT1">
        <v>2</v>
      </c>
      <c r="BU1">
        <v>1</v>
      </c>
      <c r="BV1">
        <v>2</v>
      </c>
      <c r="BW1">
        <v>1</v>
      </c>
      <c r="BX1">
        <v>1</v>
      </c>
      <c r="BY1">
        <v>1</v>
      </c>
      <c r="BZ1">
        <v>12</v>
      </c>
    </row>
    <row r="2" spans="1:78" x14ac:dyDescent="0.3">
      <c r="A2" t="s">
        <v>262</v>
      </c>
      <c r="B2" t="s">
        <v>239</v>
      </c>
      <c r="C2">
        <v>44</v>
      </c>
      <c r="D2" t="s">
        <v>72</v>
      </c>
      <c r="E2" t="s">
        <v>73</v>
      </c>
      <c r="F2" t="s">
        <v>120</v>
      </c>
      <c r="G2" t="s">
        <v>79</v>
      </c>
      <c r="H2">
        <v>20</v>
      </c>
      <c r="N2" t="s">
        <v>207</v>
      </c>
      <c r="O2" t="s">
        <v>83</v>
      </c>
      <c r="P2" t="s">
        <v>208</v>
      </c>
      <c r="Q2" t="s">
        <v>110</v>
      </c>
      <c r="U2" t="s">
        <v>96</v>
      </c>
      <c r="V2" t="s">
        <v>210</v>
      </c>
      <c r="X2">
        <v>4</v>
      </c>
      <c r="Y2">
        <v>4</v>
      </c>
      <c r="Z2">
        <v>4</v>
      </c>
      <c r="AA2">
        <v>4</v>
      </c>
      <c r="AB2">
        <v>4</v>
      </c>
      <c r="AC2">
        <v>4</v>
      </c>
      <c r="AD2">
        <v>4</v>
      </c>
      <c r="AE2">
        <v>4</v>
      </c>
      <c r="AF2">
        <v>4</v>
      </c>
      <c r="AG2">
        <v>4</v>
      </c>
      <c r="AH2">
        <v>4</v>
      </c>
      <c r="AI2">
        <v>4</v>
      </c>
      <c r="AJ2">
        <v>4</v>
      </c>
      <c r="AK2">
        <v>4</v>
      </c>
      <c r="AL2">
        <v>56</v>
      </c>
      <c r="AN2">
        <v>30</v>
      </c>
      <c r="AO2" t="s">
        <v>211</v>
      </c>
      <c r="AP2" t="s">
        <v>79</v>
      </c>
      <c r="AQ2">
        <v>30</v>
      </c>
      <c r="AR2" t="s">
        <v>211</v>
      </c>
      <c r="AS2" t="s">
        <v>79</v>
      </c>
      <c r="AT2">
        <v>30</v>
      </c>
      <c r="AU2" t="s">
        <v>211</v>
      </c>
      <c r="AV2" t="s">
        <v>79</v>
      </c>
      <c r="AW2">
        <v>30</v>
      </c>
      <c r="AX2" t="s">
        <v>211</v>
      </c>
      <c r="AY2" t="s">
        <v>79</v>
      </c>
      <c r="AZ2">
        <v>2</v>
      </c>
      <c r="BA2">
        <v>2</v>
      </c>
      <c r="BB2">
        <v>2</v>
      </c>
      <c r="BC2">
        <v>2</v>
      </c>
      <c r="BD2">
        <v>2</v>
      </c>
      <c r="BE2">
        <v>2</v>
      </c>
      <c r="BF2">
        <v>2</v>
      </c>
      <c r="BG2">
        <v>2</v>
      </c>
      <c r="BH2">
        <v>2</v>
      </c>
      <c r="BI2">
        <v>2</v>
      </c>
      <c r="BJ2">
        <v>2</v>
      </c>
      <c r="BK2">
        <v>2</v>
      </c>
      <c r="BL2">
        <v>2</v>
      </c>
      <c r="BM2">
        <v>2</v>
      </c>
      <c r="BN2">
        <v>28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10</v>
      </c>
    </row>
    <row r="3" spans="1:78" x14ac:dyDescent="0.3">
      <c r="A3" t="s">
        <v>263</v>
      </c>
      <c r="B3" t="s">
        <v>239</v>
      </c>
      <c r="C3">
        <v>50</v>
      </c>
      <c r="D3" t="s">
        <v>72</v>
      </c>
      <c r="E3" t="s">
        <v>73</v>
      </c>
      <c r="F3" t="s">
        <v>214</v>
      </c>
      <c r="G3" t="s">
        <v>81</v>
      </c>
      <c r="H3">
        <v>24</v>
      </c>
      <c r="N3" t="s">
        <v>207</v>
      </c>
      <c r="O3" t="s">
        <v>83</v>
      </c>
      <c r="P3" t="s">
        <v>208</v>
      </c>
      <c r="Q3" t="s">
        <v>82</v>
      </c>
      <c r="U3" t="s">
        <v>76</v>
      </c>
      <c r="V3" t="s">
        <v>210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>
        <v>4</v>
      </c>
      <c r="AL3">
        <v>56</v>
      </c>
      <c r="AN3">
        <v>30</v>
      </c>
      <c r="AO3" t="s">
        <v>211</v>
      </c>
      <c r="AP3" t="s">
        <v>79</v>
      </c>
      <c r="AQ3">
        <v>30</v>
      </c>
      <c r="AR3" t="s">
        <v>211</v>
      </c>
      <c r="AS3" t="s">
        <v>79</v>
      </c>
      <c r="AT3">
        <v>30</v>
      </c>
      <c r="AU3" t="s">
        <v>211</v>
      </c>
      <c r="AV3" t="s">
        <v>79</v>
      </c>
      <c r="AW3">
        <v>30</v>
      </c>
      <c r="AX3" t="s">
        <v>211</v>
      </c>
      <c r="AY3" t="s">
        <v>79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2</v>
      </c>
      <c r="BG3">
        <v>2</v>
      </c>
      <c r="BH3">
        <v>2</v>
      </c>
      <c r="BI3">
        <v>2</v>
      </c>
      <c r="BJ3">
        <v>2</v>
      </c>
      <c r="BK3">
        <v>2</v>
      </c>
      <c r="BL3">
        <v>2</v>
      </c>
      <c r="BM3">
        <v>2</v>
      </c>
      <c r="BN3">
        <v>28</v>
      </c>
      <c r="BP3">
        <v>1</v>
      </c>
      <c r="BQ3">
        <v>1</v>
      </c>
      <c r="BR3">
        <v>2</v>
      </c>
      <c r="BS3">
        <v>2</v>
      </c>
      <c r="BT3">
        <v>2</v>
      </c>
      <c r="BU3">
        <v>2</v>
      </c>
      <c r="BV3">
        <v>2</v>
      </c>
      <c r="BW3">
        <v>2</v>
      </c>
      <c r="BX3">
        <v>2</v>
      </c>
      <c r="BY3">
        <v>2</v>
      </c>
      <c r="BZ3">
        <v>18</v>
      </c>
    </row>
    <row r="4" spans="1:78" x14ac:dyDescent="0.3">
      <c r="A4" t="s">
        <v>264</v>
      </c>
      <c r="B4" t="s">
        <v>239</v>
      </c>
      <c r="C4">
        <v>52</v>
      </c>
      <c r="D4" t="s">
        <v>72</v>
      </c>
      <c r="E4" t="s">
        <v>73</v>
      </c>
      <c r="F4" t="s">
        <v>214</v>
      </c>
      <c r="G4" t="s">
        <v>79</v>
      </c>
      <c r="H4">
        <v>21</v>
      </c>
      <c r="N4" t="s">
        <v>218</v>
      </c>
      <c r="O4" t="s">
        <v>219</v>
      </c>
      <c r="P4" t="s">
        <v>208</v>
      </c>
      <c r="Q4" t="s">
        <v>220</v>
      </c>
      <c r="U4" t="s">
        <v>76</v>
      </c>
      <c r="V4" t="s">
        <v>210</v>
      </c>
      <c r="X4">
        <v>4</v>
      </c>
      <c r="Y4">
        <v>4</v>
      </c>
      <c r="Z4">
        <v>4</v>
      </c>
      <c r="AA4">
        <v>4</v>
      </c>
      <c r="AB4">
        <v>4</v>
      </c>
      <c r="AC4">
        <v>3</v>
      </c>
      <c r="AD4">
        <v>4</v>
      </c>
      <c r="AE4">
        <v>4</v>
      </c>
      <c r="AF4">
        <v>4</v>
      </c>
      <c r="AG4">
        <v>4</v>
      </c>
      <c r="AH4">
        <v>4</v>
      </c>
      <c r="AI4">
        <v>4</v>
      </c>
      <c r="AJ4">
        <v>4</v>
      </c>
      <c r="AK4">
        <v>4</v>
      </c>
      <c r="AL4">
        <v>55</v>
      </c>
      <c r="AN4">
        <v>30</v>
      </c>
      <c r="AO4" t="s">
        <v>213</v>
      </c>
      <c r="AP4" t="s">
        <v>79</v>
      </c>
      <c r="AQ4">
        <v>30</v>
      </c>
      <c r="AR4" t="s">
        <v>213</v>
      </c>
      <c r="AS4" t="s">
        <v>79</v>
      </c>
      <c r="AT4">
        <v>30</v>
      </c>
      <c r="AU4" t="s">
        <v>213</v>
      </c>
      <c r="AV4" t="s">
        <v>79</v>
      </c>
      <c r="AW4">
        <v>30</v>
      </c>
      <c r="AX4" t="s">
        <v>213</v>
      </c>
      <c r="AY4" t="s">
        <v>79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1</v>
      </c>
      <c r="BN4">
        <v>27</v>
      </c>
      <c r="BP4">
        <v>6</v>
      </c>
      <c r="BQ4">
        <v>6</v>
      </c>
      <c r="BR4">
        <v>6</v>
      </c>
      <c r="BS4">
        <v>6</v>
      </c>
      <c r="BT4">
        <v>6</v>
      </c>
      <c r="BU4">
        <v>6</v>
      </c>
      <c r="BV4">
        <v>6</v>
      </c>
      <c r="BW4">
        <v>6</v>
      </c>
      <c r="BX4">
        <v>6</v>
      </c>
      <c r="BY4">
        <v>6</v>
      </c>
      <c r="BZ4">
        <v>60</v>
      </c>
    </row>
    <row r="5" spans="1:78" x14ac:dyDescent="0.3">
      <c r="A5" t="s">
        <v>265</v>
      </c>
      <c r="B5" t="s">
        <v>239</v>
      </c>
      <c r="C5">
        <v>32</v>
      </c>
      <c r="D5" t="s">
        <v>72</v>
      </c>
      <c r="E5" t="s">
        <v>73</v>
      </c>
      <c r="F5" t="s">
        <v>86</v>
      </c>
      <c r="G5" t="s">
        <v>79</v>
      </c>
      <c r="H5">
        <v>8</v>
      </c>
      <c r="N5" t="s">
        <v>207</v>
      </c>
      <c r="O5" t="s">
        <v>83</v>
      </c>
      <c r="P5" t="s">
        <v>208</v>
      </c>
      <c r="Q5" t="s">
        <v>110</v>
      </c>
      <c r="U5" t="s">
        <v>96</v>
      </c>
      <c r="V5" t="s">
        <v>210</v>
      </c>
      <c r="X5">
        <v>4</v>
      </c>
      <c r="Y5">
        <v>4</v>
      </c>
      <c r="Z5">
        <v>4</v>
      </c>
      <c r="AA5">
        <v>4</v>
      </c>
      <c r="AB5">
        <v>4</v>
      </c>
      <c r="AC5">
        <v>4</v>
      </c>
      <c r="AD5">
        <v>4</v>
      </c>
      <c r="AE5">
        <v>4</v>
      </c>
      <c r="AF5">
        <v>4</v>
      </c>
      <c r="AG5">
        <v>4</v>
      </c>
      <c r="AH5">
        <v>4</v>
      </c>
      <c r="AI5">
        <v>4</v>
      </c>
      <c r="AJ5">
        <v>4</v>
      </c>
      <c r="AK5">
        <v>4</v>
      </c>
      <c r="AL5">
        <v>56</v>
      </c>
      <c r="AN5">
        <v>30</v>
      </c>
      <c r="AO5" t="s">
        <v>211</v>
      </c>
      <c r="AP5" t="s">
        <v>79</v>
      </c>
      <c r="AQ5">
        <v>30</v>
      </c>
      <c r="AR5" t="s">
        <v>211</v>
      </c>
      <c r="AS5" t="s">
        <v>79</v>
      </c>
      <c r="AT5">
        <v>30</v>
      </c>
      <c r="AU5" t="s">
        <v>211</v>
      </c>
      <c r="AV5" t="s">
        <v>79</v>
      </c>
      <c r="AW5">
        <v>30</v>
      </c>
      <c r="AX5" t="s">
        <v>211</v>
      </c>
      <c r="AY5" t="s">
        <v>79</v>
      </c>
      <c r="AZ5">
        <v>2</v>
      </c>
      <c r="BA5">
        <v>2</v>
      </c>
      <c r="BB5">
        <v>2</v>
      </c>
      <c r="BC5">
        <v>2</v>
      </c>
      <c r="BD5">
        <v>2</v>
      </c>
      <c r="BE5">
        <v>2</v>
      </c>
      <c r="BF5">
        <v>2</v>
      </c>
      <c r="BG5">
        <v>2</v>
      </c>
      <c r="BH5">
        <v>2</v>
      </c>
      <c r="BI5">
        <v>2</v>
      </c>
      <c r="BJ5">
        <v>2</v>
      </c>
      <c r="BK5">
        <v>2</v>
      </c>
      <c r="BL5">
        <v>2</v>
      </c>
      <c r="BM5">
        <v>2</v>
      </c>
      <c r="BN5">
        <v>28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10</v>
      </c>
    </row>
    <row r="6" spans="1:78" x14ac:dyDescent="0.3">
      <c r="A6" t="s">
        <v>266</v>
      </c>
      <c r="B6" t="s">
        <v>239</v>
      </c>
      <c r="C6">
        <v>55</v>
      </c>
      <c r="D6" t="s">
        <v>72</v>
      </c>
      <c r="E6" t="s">
        <v>73</v>
      </c>
      <c r="F6" t="s">
        <v>230</v>
      </c>
      <c r="G6" t="s">
        <v>81</v>
      </c>
      <c r="H6">
        <v>30</v>
      </c>
      <c r="N6" t="s">
        <v>225</v>
      </c>
      <c r="O6" t="s">
        <v>223</v>
      </c>
      <c r="P6" t="s">
        <v>83</v>
      </c>
      <c r="Q6" t="s">
        <v>82</v>
      </c>
      <c r="U6" t="s">
        <v>96</v>
      </c>
      <c r="V6" t="s">
        <v>210</v>
      </c>
      <c r="W6" t="s">
        <v>240</v>
      </c>
      <c r="X6">
        <v>4</v>
      </c>
      <c r="Y6">
        <v>4</v>
      </c>
      <c r="Z6">
        <v>4</v>
      </c>
      <c r="AA6">
        <v>4</v>
      </c>
      <c r="AB6">
        <v>4</v>
      </c>
      <c r="AC6">
        <v>3</v>
      </c>
      <c r="AD6">
        <v>3</v>
      </c>
      <c r="AE6">
        <v>4</v>
      </c>
      <c r="AF6">
        <v>4</v>
      </c>
      <c r="AG6">
        <v>4</v>
      </c>
      <c r="AH6">
        <v>3</v>
      </c>
      <c r="AI6">
        <v>4</v>
      </c>
      <c r="AJ6">
        <v>4</v>
      </c>
      <c r="AK6">
        <v>4</v>
      </c>
      <c r="AL6">
        <v>53</v>
      </c>
      <c r="AM6" t="s">
        <v>124</v>
      </c>
      <c r="AN6" t="s">
        <v>241</v>
      </c>
      <c r="AO6" t="s">
        <v>211</v>
      </c>
      <c r="AP6" t="s">
        <v>79</v>
      </c>
      <c r="AQ6" t="s">
        <v>242</v>
      </c>
      <c r="AR6" t="s">
        <v>211</v>
      </c>
      <c r="AS6" t="s">
        <v>79</v>
      </c>
      <c r="AT6" t="s">
        <v>243</v>
      </c>
      <c r="AU6" t="s">
        <v>211</v>
      </c>
      <c r="AV6" t="s">
        <v>79</v>
      </c>
      <c r="AW6" t="s">
        <v>243</v>
      </c>
      <c r="AX6" t="s">
        <v>211</v>
      </c>
      <c r="AY6" t="s">
        <v>79</v>
      </c>
      <c r="AZ6">
        <v>2</v>
      </c>
      <c r="BA6">
        <v>2</v>
      </c>
      <c r="BB6">
        <v>1</v>
      </c>
      <c r="BC6">
        <v>2</v>
      </c>
      <c r="BD6">
        <v>1</v>
      </c>
      <c r="BE6">
        <v>2</v>
      </c>
      <c r="BF6">
        <v>2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19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10</v>
      </c>
    </row>
    <row r="7" spans="1:78" x14ac:dyDescent="0.3">
      <c r="A7" t="s">
        <v>267</v>
      </c>
      <c r="B7" t="s">
        <v>239</v>
      </c>
      <c r="C7">
        <v>38</v>
      </c>
      <c r="D7" t="s">
        <v>72</v>
      </c>
      <c r="E7" t="s">
        <v>73</v>
      </c>
      <c r="F7" t="s">
        <v>120</v>
      </c>
      <c r="G7" t="s">
        <v>79</v>
      </c>
      <c r="H7">
        <v>15</v>
      </c>
      <c r="N7" t="s">
        <v>218</v>
      </c>
      <c r="O7" t="s">
        <v>219</v>
      </c>
      <c r="P7" t="s">
        <v>208</v>
      </c>
      <c r="Q7" t="s">
        <v>82</v>
      </c>
      <c r="U7" t="s">
        <v>96</v>
      </c>
      <c r="V7" t="s">
        <v>210</v>
      </c>
      <c r="X7">
        <v>4</v>
      </c>
      <c r="Y7">
        <v>4</v>
      </c>
      <c r="Z7">
        <v>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  <c r="AL7">
        <v>56</v>
      </c>
      <c r="AN7" t="s">
        <v>244</v>
      </c>
      <c r="AO7" t="s">
        <v>211</v>
      </c>
      <c r="AP7" t="s">
        <v>79</v>
      </c>
      <c r="AQ7" t="s">
        <v>241</v>
      </c>
      <c r="AR7" t="s">
        <v>211</v>
      </c>
      <c r="AS7" t="s">
        <v>79</v>
      </c>
      <c r="AT7" t="s">
        <v>241</v>
      </c>
      <c r="AU7" t="s">
        <v>211</v>
      </c>
      <c r="AV7" t="s">
        <v>79</v>
      </c>
      <c r="AW7" t="s">
        <v>241</v>
      </c>
      <c r="AX7" t="s">
        <v>211</v>
      </c>
      <c r="AY7" t="s">
        <v>79</v>
      </c>
      <c r="AZ7">
        <v>2</v>
      </c>
      <c r="BA7">
        <v>2</v>
      </c>
      <c r="BB7">
        <v>2</v>
      </c>
      <c r="BC7">
        <v>2</v>
      </c>
      <c r="BD7">
        <v>2</v>
      </c>
      <c r="BE7">
        <v>2</v>
      </c>
      <c r="BF7">
        <v>2</v>
      </c>
      <c r="BG7">
        <v>1</v>
      </c>
      <c r="BH7">
        <v>1</v>
      </c>
      <c r="BI7">
        <v>2</v>
      </c>
      <c r="BJ7">
        <v>2</v>
      </c>
      <c r="BK7">
        <v>2</v>
      </c>
      <c r="BL7">
        <v>1</v>
      </c>
      <c r="BM7">
        <v>1</v>
      </c>
      <c r="BN7">
        <v>24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10</v>
      </c>
    </row>
    <row r="8" spans="1:78" x14ac:dyDescent="0.3">
      <c r="A8" t="s">
        <v>268</v>
      </c>
      <c r="B8" t="s">
        <v>239</v>
      </c>
      <c r="C8">
        <v>31</v>
      </c>
      <c r="D8" t="s">
        <v>72</v>
      </c>
      <c r="E8" t="s">
        <v>236</v>
      </c>
      <c r="F8" t="s">
        <v>129</v>
      </c>
      <c r="G8" t="s">
        <v>81</v>
      </c>
      <c r="H8">
        <v>5</v>
      </c>
      <c r="N8" t="s">
        <v>207</v>
      </c>
      <c r="O8" t="s">
        <v>219</v>
      </c>
      <c r="P8" t="s">
        <v>208</v>
      </c>
      <c r="Q8" t="s">
        <v>82</v>
      </c>
      <c r="U8" t="s">
        <v>96</v>
      </c>
      <c r="V8" t="s">
        <v>210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  <c r="AL8">
        <v>56</v>
      </c>
      <c r="AN8" t="s">
        <v>244</v>
      </c>
      <c r="AO8" t="s">
        <v>211</v>
      </c>
      <c r="AP8" t="s">
        <v>79</v>
      </c>
      <c r="AQ8" t="s">
        <v>241</v>
      </c>
      <c r="AR8" t="s">
        <v>211</v>
      </c>
      <c r="AS8" t="s">
        <v>79</v>
      </c>
      <c r="AT8" t="s">
        <v>244</v>
      </c>
      <c r="AU8" t="s">
        <v>211</v>
      </c>
      <c r="AV8" t="s">
        <v>79</v>
      </c>
      <c r="AW8" t="s">
        <v>241</v>
      </c>
      <c r="AX8" t="s">
        <v>211</v>
      </c>
      <c r="AY8" t="s">
        <v>79</v>
      </c>
      <c r="AZ8">
        <v>2</v>
      </c>
      <c r="BA8">
        <v>2</v>
      </c>
      <c r="BB8">
        <v>2</v>
      </c>
      <c r="BC8">
        <v>2</v>
      </c>
      <c r="BD8">
        <v>2</v>
      </c>
      <c r="BE8">
        <v>2</v>
      </c>
      <c r="BF8">
        <v>2</v>
      </c>
      <c r="BG8">
        <v>1</v>
      </c>
      <c r="BH8">
        <v>2</v>
      </c>
      <c r="BI8">
        <v>2</v>
      </c>
      <c r="BJ8">
        <v>2</v>
      </c>
      <c r="BK8">
        <v>2</v>
      </c>
      <c r="BL8">
        <v>2</v>
      </c>
      <c r="BM8">
        <v>2</v>
      </c>
      <c r="BN8">
        <v>27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10</v>
      </c>
    </row>
    <row r="9" spans="1:78" x14ac:dyDescent="0.3">
      <c r="A9" t="s">
        <v>269</v>
      </c>
      <c r="B9" t="s">
        <v>239</v>
      </c>
      <c r="C9">
        <v>33</v>
      </c>
      <c r="D9" t="s">
        <v>72</v>
      </c>
      <c r="E9" t="s">
        <v>73</v>
      </c>
      <c r="F9" t="s">
        <v>129</v>
      </c>
      <c r="G9" t="s">
        <v>79</v>
      </c>
      <c r="H9">
        <v>7</v>
      </c>
      <c r="N9" t="s">
        <v>218</v>
      </c>
      <c r="O9" t="s">
        <v>219</v>
      </c>
      <c r="P9" t="s">
        <v>208</v>
      </c>
      <c r="Q9" t="s">
        <v>82</v>
      </c>
      <c r="U9" t="s">
        <v>96</v>
      </c>
      <c r="V9" t="s">
        <v>210</v>
      </c>
      <c r="X9">
        <v>4</v>
      </c>
      <c r="Y9">
        <v>4</v>
      </c>
      <c r="Z9">
        <v>3</v>
      </c>
      <c r="AA9">
        <v>3</v>
      </c>
      <c r="AB9">
        <v>4</v>
      </c>
      <c r="AC9">
        <v>3</v>
      </c>
      <c r="AD9">
        <v>3</v>
      </c>
      <c r="AE9">
        <v>3</v>
      </c>
      <c r="AF9">
        <v>4</v>
      </c>
      <c r="AG9">
        <v>3</v>
      </c>
      <c r="AH9">
        <v>3</v>
      </c>
      <c r="AI9">
        <v>3</v>
      </c>
      <c r="AJ9">
        <v>3</v>
      </c>
      <c r="AK9">
        <v>3</v>
      </c>
      <c r="AL9">
        <v>46</v>
      </c>
      <c r="AN9" t="s">
        <v>241</v>
      </c>
      <c r="AO9" t="s">
        <v>211</v>
      </c>
      <c r="AP9" t="s">
        <v>79</v>
      </c>
      <c r="AQ9" t="s">
        <v>243</v>
      </c>
      <c r="AR9" t="s">
        <v>211</v>
      </c>
      <c r="AS9" t="s">
        <v>79</v>
      </c>
      <c r="AT9" t="s">
        <v>241</v>
      </c>
      <c r="AU9" t="s">
        <v>211</v>
      </c>
      <c r="AV9" t="s">
        <v>79</v>
      </c>
      <c r="AW9" t="s">
        <v>243</v>
      </c>
      <c r="AX9" t="s">
        <v>211</v>
      </c>
      <c r="AY9" t="s">
        <v>79</v>
      </c>
      <c r="AZ9">
        <v>2</v>
      </c>
      <c r="BA9">
        <v>2</v>
      </c>
      <c r="BB9">
        <v>1</v>
      </c>
      <c r="BC9">
        <v>1</v>
      </c>
      <c r="BD9">
        <v>1</v>
      </c>
      <c r="BE9">
        <v>2</v>
      </c>
      <c r="BF9">
        <v>1</v>
      </c>
      <c r="BG9">
        <v>1</v>
      </c>
      <c r="BH9">
        <v>1</v>
      </c>
      <c r="BI9">
        <v>2</v>
      </c>
      <c r="BJ9">
        <v>2</v>
      </c>
      <c r="BK9">
        <v>2</v>
      </c>
      <c r="BL9">
        <v>1</v>
      </c>
      <c r="BM9">
        <v>1</v>
      </c>
      <c r="BN9">
        <v>20</v>
      </c>
      <c r="BP9">
        <v>1</v>
      </c>
      <c r="BQ9">
        <v>2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11</v>
      </c>
    </row>
    <row r="10" spans="1:78" x14ac:dyDescent="0.3">
      <c r="A10" t="s">
        <v>270</v>
      </c>
      <c r="B10" t="s">
        <v>239</v>
      </c>
      <c r="C10">
        <v>34</v>
      </c>
      <c r="D10" t="s">
        <v>72</v>
      </c>
      <c r="E10" t="s">
        <v>110</v>
      </c>
      <c r="F10" t="s">
        <v>214</v>
      </c>
      <c r="G10" t="s">
        <v>79</v>
      </c>
      <c r="H10">
        <v>10</v>
      </c>
      <c r="N10" t="s">
        <v>218</v>
      </c>
      <c r="O10" t="s">
        <v>223</v>
      </c>
      <c r="P10" t="s">
        <v>83</v>
      </c>
      <c r="Q10" t="s">
        <v>79</v>
      </c>
      <c r="U10" t="s">
        <v>96</v>
      </c>
      <c r="V10" t="s">
        <v>210</v>
      </c>
      <c r="X10">
        <v>4</v>
      </c>
      <c r="Y10">
        <v>4</v>
      </c>
      <c r="Z10">
        <v>4</v>
      </c>
      <c r="AA10">
        <v>3</v>
      </c>
      <c r="AB10">
        <v>4</v>
      </c>
      <c r="AC10">
        <v>3</v>
      </c>
      <c r="AD10">
        <v>3</v>
      </c>
      <c r="AE10">
        <v>4</v>
      </c>
      <c r="AF10">
        <v>4</v>
      </c>
      <c r="AG10">
        <v>4</v>
      </c>
      <c r="AH10">
        <v>4</v>
      </c>
      <c r="AI10">
        <v>4</v>
      </c>
      <c r="AJ10">
        <v>3</v>
      </c>
      <c r="AK10">
        <v>3</v>
      </c>
      <c r="AL10">
        <v>51</v>
      </c>
      <c r="AN10" t="s">
        <v>241</v>
      </c>
      <c r="AO10" t="s">
        <v>211</v>
      </c>
      <c r="AP10" t="s">
        <v>79</v>
      </c>
      <c r="AQ10" t="s">
        <v>243</v>
      </c>
      <c r="AR10" t="s">
        <v>211</v>
      </c>
      <c r="AS10" t="s">
        <v>79</v>
      </c>
      <c r="AT10" t="s">
        <v>241</v>
      </c>
      <c r="AU10" t="s">
        <v>211</v>
      </c>
      <c r="AV10" t="s">
        <v>79</v>
      </c>
      <c r="AW10" t="s">
        <v>243</v>
      </c>
      <c r="AX10" t="s">
        <v>211</v>
      </c>
      <c r="AY10" t="s">
        <v>79</v>
      </c>
      <c r="AZ10">
        <v>2</v>
      </c>
      <c r="BA10">
        <v>2</v>
      </c>
      <c r="BB10">
        <v>1</v>
      </c>
      <c r="BC10">
        <v>1</v>
      </c>
      <c r="BD10">
        <v>1</v>
      </c>
      <c r="BE10">
        <v>1</v>
      </c>
      <c r="BF10">
        <v>2</v>
      </c>
      <c r="BG10">
        <v>1</v>
      </c>
      <c r="BH10">
        <v>1</v>
      </c>
      <c r="BI10">
        <v>2</v>
      </c>
      <c r="BJ10">
        <v>2</v>
      </c>
      <c r="BK10">
        <v>1</v>
      </c>
      <c r="BL10">
        <v>1</v>
      </c>
      <c r="BM10">
        <v>1</v>
      </c>
      <c r="BN10">
        <v>19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PD</vt:lpstr>
      <vt:lpstr>WD</vt:lpstr>
      <vt:lpstr>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Sabarish Narayanan</dc:creator>
  <cp:lastModifiedBy>Sabarish Hariharan Narayanan</cp:lastModifiedBy>
  <dcterms:created xsi:type="dcterms:W3CDTF">2026-02-18T19:27:26Z</dcterms:created>
  <dcterms:modified xsi:type="dcterms:W3CDTF">2026-03-16T01:56:33Z</dcterms:modified>
</cp:coreProperties>
</file>